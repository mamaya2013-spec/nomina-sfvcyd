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ristianmartinnicolasamaya/Documents/antigravity/nomina-sfvcyd/doc/"/>
    </mc:Choice>
  </mc:AlternateContent>
  <xr:revisionPtr revIDLastSave="0" documentId="13_ncr:1_{CEE9A7BF-83FD-8E48-AAB0-D9B96C5D42CF}" xr6:coauthVersionLast="47" xr6:coauthVersionMax="47" xr10:uidLastSave="{00000000-0000-0000-0000-000000000000}"/>
  <bookViews>
    <workbookView xWindow="0" yWindow="660" windowWidth="29400" windowHeight="17440" xr2:uid="{00000000-000D-0000-FFFF-FFFF00000000}"/>
  </bookViews>
  <sheets>
    <sheet name="Worksheet" sheetId="1" r:id="rId1"/>
    <sheet name="Hoja1" sheetId="2" r:id="rId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7" i="1"/>
  <c r="E78" i="1"/>
  <c r="E79" i="1"/>
  <c r="E80" i="1"/>
  <c r="E81" i="1"/>
  <c r="E82" i="1"/>
  <c r="E83" i="1"/>
  <c r="E3" i="1"/>
</calcChain>
</file>

<file path=xl/sharedStrings.xml><?xml version="1.0" encoding="utf-8"?>
<sst xmlns="http://schemas.openxmlformats.org/spreadsheetml/2006/main" count="3809" uniqueCount="1003">
  <si>
    <t xml:space="preserve"> </t>
  </si>
  <si>
    <t>CUIT</t>
  </si>
  <si>
    <t>DNI</t>
  </si>
  <si>
    <t>APELLIDO_NOMBRE</t>
  </si>
  <si>
    <t>FECHA NAC.</t>
  </si>
  <si>
    <t>CBU</t>
  </si>
  <si>
    <t>TAR ACT.</t>
  </si>
  <si>
    <t>TELÉFONO</t>
  </si>
  <si>
    <t>EMAIL</t>
  </si>
  <si>
    <t>DEPARTAMENTO</t>
  </si>
  <si>
    <t>LOCALIDAD</t>
  </si>
  <si>
    <t>BARRIO</t>
  </si>
  <si>
    <t>CALLE</t>
  </si>
  <si>
    <t>NRO</t>
  </si>
  <si>
    <t>PISO</t>
  </si>
  <si>
    <t>DEPTO</t>
  </si>
  <si>
    <t>LOTE</t>
  </si>
  <si>
    <t>MANZANA</t>
  </si>
  <si>
    <t>CODIGO_POSTAL</t>
  </si>
  <si>
    <t>NACIONALIDAD</t>
  </si>
  <si>
    <t>REPORTE NOMINAS monotributistas</t>
  </si>
  <si>
    <t>subsecretaria</t>
  </si>
  <si>
    <t>area</t>
  </si>
  <si>
    <t>responsable</t>
  </si>
  <si>
    <t>provincia</t>
  </si>
  <si>
    <t>codigo postal</t>
  </si>
  <si>
    <t>nacionalidad</t>
  </si>
  <si>
    <t>IMPORTE MENSUAL monotributo</t>
  </si>
  <si>
    <t>Subsecretaria de Cultura</t>
  </si>
  <si>
    <t>Secretaria Fortalecimiento Vecinal y Deportes</t>
  </si>
  <si>
    <t>Subsecretaria de Politicas Vecinales</t>
  </si>
  <si>
    <t>Subsecretaria de Vecinalismo</t>
  </si>
  <si>
    <t>ARINCI CAMILA MARIA</t>
  </si>
  <si>
    <t>ARRAIGADA  GUTIERREZ ESTEFANIA</t>
  </si>
  <si>
    <t>ARRASCAETA GERMAN ANIBAL</t>
  </si>
  <si>
    <t>BARALE TEJERINA RITA</t>
  </si>
  <si>
    <t>BELTRAMINO ALICIA SUSANA</t>
  </si>
  <si>
    <t>BERTONI ANGELA</t>
  </si>
  <si>
    <t>BESSONE UNREIN MATEO</t>
  </si>
  <si>
    <t>BICECCI EDGAR SERGIO RODOLFO</t>
  </si>
  <si>
    <t>BRUNELLI GIORGIS RODRIGO CARLOS</t>
  </si>
  <si>
    <t>BUCETA  RINAUDO LOURDES</t>
  </si>
  <si>
    <t>BUSSO JULIA</t>
  </si>
  <si>
    <t>CAMPILLAY SILVIA LORENA</t>
  </si>
  <si>
    <t>CAMUZZI ACOSTA GUSTAVO MARTIN</t>
  </si>
  <si>
    <t xml:space="preserve">CANZIANI   CRISTIAN OSCAR </t>
  </si>
  <si>
    <t>CARBALLO CAMILA MARIA</t>
  </si>
  <si>
    <t>CARDOZO VERONICA RAQUEL</t>
  </si>
  <si>
    <t>CARLETTO NOELIA SOLEDAD</t>
  </si>
  <si>
    <t>CARRERAS MARIELA PAULA</t>
  </si>
  <si>
    <t xml:space="preserve">CARRIZO   CAROLINA </t>
  </si>
  <si>
    <t>CATINARI GINO LUCIANO</t>
  </si>
  <si>
    <t>CEBOLLERO BRUNO MATEO</t>
  </si>
  <si>
    <t>COLL MANUEL SANTIAGO</t>
  </si>
  <si>
    <t>COZZA ALEJANDRO ALBERTO</t>
  </si>
  <si>
    <t>D  ALESSANDRO PEDRO ANDRES</t>
  </si>
  <si>
    <t>D´ALMEIDA MICAELA  ROMELIA</t>
  </si>
  <si>
    <t xml:space="preserve">DE   AVILA CUNHA PILAR </t>
  </si>
  <si>
    <t>DIAZ MILAGROS</t>
  </si>
  <si>
    <t>DIAZ LUCIA BELEN</t>
  </si>
  <si>
    <t xml:space="preserve">DIBERTI   PABLO </t>
  </si>
  <si>
    <t xml:space="preserve">DOMIJAN  DEYMIE   ALINA NOEL </t>
  </si>
  <si>
    <t xml:space="preserve">FIGUEROA   MARTÍN RODRIGO </t>
  </si>
  <si>
    <t xml:space="preserve">FRACASSI   GONZALO MARTIN </t>
  </si>
  <si>
    <t xml:space="preserve">GARIMALDI   DANIEL FABIAN </t>
  </si>
  <si>
    <t>GAZAL MARIA CELESTE</t>
  </si>
  <si>
    <t>GIOVANNONI CAMINOS GRACIELA MARIA</t>
  </si>
  <si>
    <t>GIUDICE JUAN IGNACIO</t>
  </si>
  <si>
    <t>GONZALEZ MICOLINI MARÍA JOSEFINA</t>
  </si>
  <si>
    <t>HADAD SAYANS MAYRA</t>
  </si>
  <si>
    <t>HEIL DANA</t>
  </si>
  <si>
    <t>JARRYS GISELA JUDITH</t>
  </si>
  <si>
    <t>LUCERO NATALIA MAGALI</t>
  </si>
  <si>
    <t>MANCA FLORENCIA AGUSTINA</t>
  </si>
  <si>
    <t>MARQUISIO SERGIO LUIS RAMON</t>
  </si>
  <si>
    <t>MARTIN PABLO DANIEL</t>
  </si>
  <si>
    <t>MARTINEZ MARIA JULIETA</t>
  </si>
  <si>
    <t>MATEU ALBERTO OSVALDO</t>
  </si>
  <si>
    <t>MERCADO ANA VERONICA</t>
  </si>
  <si>
    <t>MORICONI MARIA DE LOS ANGELES</t>
  </si>
  <si>
    <t>MORONI  ROMERO CAROLINA ORIANA</t>
  </si>
  <si>
    <t>MOSQUERA MARIA  SOL</t>
  </si>
  <si>
    <t>MOYANO  GRECO MARÍA CRUZ</t>
  </si>
  <si>
    <t>MOYANO  KOBELT TOMAS EZEQUIEL</t>
  </si>
  <si>
    <t xml:space="preserve">MURUA   CESAR EDGARDO </t>
  </si>
  <si>
    <t>NACIF ROMERO SIMON NADIR DE JESUS</t>
  </si>
  <si>
    <t>NICOLAS  AMAYA CHRISTIAN MARTIN</t>
  </si>
  <si>
    <t>OCAMPO MARA GRISELDA</t>
  </si>
  <si>
    <t>ORTIZ AXEL JOEL</t>
  </si>
  <si>
    <t>PALACIOS  CAVION GUSTAVO DANIEL</t>
  </si>
  <si>
    <t>PEDONI MATIAS DANIEL</t>
  </si>
  <si>
    <t>PIAZZA GIULIANO JOSE</t>
  </si>
  <si>
    <t>PIAZZA ROLANDO OMAR</t>
  </si>
  <si>
    <t>PIAZZA FIAMMA</t>
  </si>
  <si>
    <t>PIÑERO CARLOS ALBERTO</t>
  </si>
  <si>
    <t xml:space="preserve">PISANI   MARIA JOSE </t>
  </si>
  <si>
    <t>RINAUDO FRANCO SEBASTIAN</t>
  </si>
  <si>
    <t xml:space="preserve">SABAS  CARPENZANO   ASHLEY MAILEN </t>
  </si>
  <si>
    <t xml:space="preserve">SAN   PEDRO MARTIN </t>
  </si>
  <si>
    <t>SANCHEZ JESICA ANABEL</t>
  </si>
  <si>
    <t>SILVA PAULA VERONICA</t>
  </si>
  <si>
    <t>SOPRANZI VALENTINA</t>
  </si>
  <si>
    <t>SOSA JULIETA VALENTINA</t>
  </si>
  <si>
    <t>SOSA ABRILE LEANDRO ANDRES</t>
  </si>
  <si>
    <t xml:space="preserve">TORRES   JUAN MANUEL </t>
  </si>
  <si>
    <t>TORRES RAGOT GASTON</t>
  </si>
  <si>
    <t>TRAPIELLA SILVINA ALICE</t>
  </si>
  <si>
    <t>VARALDO MARIA EUGENIA</t>
  </si>
  <si>
    <t xml:space="preserve">VILLA   TATIANA </t>
  </si>
  <si>
    <t>YAMAGUSUKU RAÚL KAZUO</t>
  </si>
  <si>
    <t>ZANETTI GENARO</t>
  </si>
  <si>
    <t>ZARATE GUSTAVO FABIAN</t>
  </si>
  <si>
    <t>1997/06/10</t>
  </si>
  <si>
    <t>1990/04/19</t>
  </si>
  <si>
    <t>1969/03/18</t>
  </si>
  <si>
    <t>2002/03/21</t>
  </si>
  <si>
    <t>1965/01/21</t>
  </si>
  <si>
    <t>1996/11/13</t>
  </si>
  <si>
    <t>2000/07/27</t>
  </si>
  <si>
    <t>1964/04/06</t>
  </si>
  <si>
    <t>1991/11/06</t>
  </si>
  <si>
    <t>2002/02/11</t>
  </si>
  <si>
    <t>1999/07/19</t>
  </si>
  <si>
    <t>1977/08/16</t>
  </si>
  <si>
    <t>1990/06/18</t>
  </si>
  <si>
    <t>1970/05/15</t>
  </si>
  <si>
    <t>1995/02/26</t>
  </si>
  <si>
    <t>1992/07/10</t>
  </si>
  <si>
    <t>1983/10/20</t>
  </si>
  <si>
    <t>1981/10/27</t>
  </si>
  <si>
    <t>1975/02/01</t>
  </si>
  <si>
    <t>1993/02/10</t>
  </si>
  <si>
    <t>1996/01/20</t>
  </si>
  <si>
    <t>1980/10/24</t>
  </si>
  <si>
    <t>1979/07/17</t>
  </si>
  <si>
    <t>1985/04/06</t>
  </si>
  <si>
    <t>2002/02/15</t>
  </si>
  <si>
    <t>2006/05/27</t>
  </si>
  <si>
    <t>1999/10/12</t>
  </si>
  <si>
    <t>1997/05/20</t>
  </si>
  <si>
    <t>1990/09/30</t>
  </si>
  <si>
    <t>1977/06/19</t>
  </si>
  <si>
    <t>1988/08/04</t>
  </si>
  <si>
    <t>1977/01/18</t>
  </si>
  <si>
    <t>1959/03/31</t>
  </si>
  <si>
    <t>1991/11/19</t>
  </si>
  <si>
    <t>1967/11/24</t>
  </si>
  <si>
    <t>1988/09/26</t>
  </si>
  <si>
    <t>2001/03/13</t>
  </si>
  <si>
    <t>1996/07/30</t>
  </si>
  <si>
    <t>1986/01/28</t>
  </si>
  <si>
    <t>1978/06/10</t>
  </si>
  <si>
    <t>1990/09/21</t>
  </si>
  <si>
    <t>1997/05/08</t>
  </si>
  <si>
    <t>1972/02/24</t>
  </si>
  <si>
    <t>1990/12/02</t>
  </si>
  <si>
    <t>1990/11/07</t>
  </si>
  <si>
    <t>1960/05/05</t>
  </si>
  <si>
    <t>1980/02/15</t>
  </si>
  <si>
    <t>1986/04/11</t>
  </si>
  <si>
    <t>1988/09/16</t>
  </si>
  <si>
    <t>1980/02/09</t>
  </si>
  <si>
    <t>1996/07/15</t>
  </si>
  <si>
    <t>1999/07/01</t>
  </si>
  <si>
    <t>1981/04/21</t>
  </si>
  <si>
    <t>2001/05/21</t>
  </si>
  <si>
    <t>1976/11/30</t>
  </si>
  <si>
    <t>1980/03/21</t>
  </si>
  <si>
    <t>1999/05/28</t>
  </si>
  <si>
    <t>1988/02/23</t>
  </si>
  <si>
    <t>1981/11/22</t>
  </si>
  <si>
    <t>1974/04/09</t>
  </si>
  <si>
    <t>2002/12/16</t>
  </si>
  <si>
    <t>1999/01/04</t>
  </si>
  <si>
    <t>1964/09/11</t>
  </si>
  <si>
    <t>2000/01/18</t>
  </si>
  <si>
    <t>1992/11/19</t>
  </si>
  <si>
    <t>1996/09/29</t>
  </si>
  <si>
    <t>1989/10/18</t>
  </si>
  <si>
    <t>1991/11/18</t>
  </si>
  <si>
    <t>1984/07/31</t>
  </si>
  <si>
    <t>2003/07/08</t>
  </si>
  <si>
    <t>2000/05/08</t>
  </si>
  <si>
    <t>1991/09/12</t>
  </si>
  <si>
    <t>1984/02/24</t>
  </si>
  <si>
    <t>1974/11/12</t>
  </si>
  <si>
    <t>1982/04/29</t>
  </si>
  <si>
    <t>1967/10/09</t>
  </si>
  <si>
    <t>1966/06/22</t>
  </si>
  <si>
    <t>1993/02/02</t>
  </si>
  <si>
    <t>1995/12/06</t>
  </si>
  <si>
    <t>2003/09/29</t>
  </si>
  <si>
    <t>1969/11/08</t>
  </si>
  <si>
    <t>REPORTE NOMINAS</t>
  </si>
  <si>
    <t>SECRETARIA</t>
  </si>
  <si>
    <t>PROGRAMA</t>
  </si>
  <si>
    <t>APELLIDO</t>
  </si>
  <si>
    <t>NOMBRE</t>
  </si>
  <si>
    <t>SUC ACT,</t>
  </si>
  <si>
    <t>IMPORTE MENSUAL</t>
  </si>
  <si>
    <t>MESES</t>
  </si>
  <si>
    <t>IMPORTE TOTAL</t>
  </si>
  <si>
    <t>DEVENGADO</t>
  </si>
  <si>
    <t>ACTIVA</t>
  </si>
  <si>
    <t>FECHA INGRESO</t>
  </si>
  <si>
    <t>FECHA FIN</t>
  </si>
  <si>
    <t>DT_ROWINDEX</t>
  </si>
  <si>
    <t>BANCO</t>
  </si>
  <si>
    <t>CANT_MESES</t>
  </si>
  <si>
    <t>CREATED_AT</t>
  </si>
  <si>
    <t>CUENTA</t>
  </si>
  <si>
    <t>DIRECCION</t>
  </si>
  <si>
    <t>EMITE_CONTRATO</t>
  </si>
  <si>
    <t>ESTADO</t>
  </si>
  <si>
    <t>ESTADOCIVIL</t>
  </si>
  <si>
    <t>ID</t>
  </si>
  <si>
    <t>MONTO_INDIVIDUAL</t>
  </si>
  <si>
    <t>MONTO_TOTAL</t>
  </si>
  <si>
    <t>MONTO_TOTAL_ACTIVA</t>
  </si>
  <si>
    <t>NOMINA_ESTADO</t>
  </si>
  <si>
    <t>NOMINA_ID</t>
  </si>
  <si>
    <t>NOMINA_FECHA_DESDE</t>
  </si>
  <si>
    <t>NOMINA_FECHA_HASTA</t>
  </si>
  <si>
    <t>PARTIDA_ACTIVA</t>
  </si>
  <si>
    <t>PARTIDA_MES</t>
  </si>
  <si>
    <t>PERSONAS_ID</t>
  </si>
  <si>
    <t>PROCESADO</t>
  </si>
  <si>
    <t>PROGRAMA_ID</t>
  </si>
  <si>
    <t>PROGRAMAS_ID</t>
  </si>
  <si>
    <t>PROVINCIA</t>
  </si>
  <si>
    <t>RESOLUCION</t>
  </si>
  <si>
    <t>SECRETARIA_ID</t>
  </si>
  <si>
    <t>SECRETARIAS_ID</t>
  </si>
  <si>
    <t>SECRETARIO_DESIGNACION</t>
  </si>
  <si>
    <t>SECRETARIO_DNI</t>
  </si>
  <si>
    <t>SECRETARIO_NOMBRE</t>
  </si>
  <si>
    <t>SEXO</t>
  </si>
  <si>
    <t>SUBSECRETARIA</t>
  </si>
  <si>
    <t>SUCURSAL</t>
  </si>
  <si>
    <t>TELEFONO_CODIGO</t>
  </si>
  <si>
    <t>TIPO</t>
  </si>
  <si>
    <t>UPDATED_AT</t>
  </si>
  <si>
    <t>TIPO_DNI</t>
  </si>
  <si>
    <t>PAIS</t>
  </si>
  <si>
    <t>PUERTA</t>
  </si>
  <si>
    <t>CARACT_TEL_FIJO</t>
  </si>
  <si>
    <t>TEL_FIJO</t>
  </si>
  <si>
    <t>COMPA_CELULAR</t>
  </si>
  <si>
    <t>COD_DISTRIBUCION</t>
  </si>
  <si>
    <t>NUM_ID_FISCAL</t>
  </si>
  <si>
    <t>DOM_FISC_EXT</t>
  </si>
  <si>
    <t>FORTALECIMIENTO VECINAL Y DEPORTE</t>
  </si>
  <si>
    <t>Monotributistas</t>
  </si>
  <si>
    <t>ARINCI</t>
  </si>
  <si>
    <t>CAMILA MARIA</t>
  </si>
  <si>
    <t>0720247888000010930218</t>
  </si>
  <si>
    <t>0000000029865916</t>
  </si>
  <si>
    <t>0913</t>
  </si>
  <si>
    <t>arinci@gmail.com</t>
  </si>
  <si>
    <t>CAPITAL</t>
  </si>
  <si>
    <t>CORDOBA</t>
  </si>
  <si>
    <t>Parque Horizonte</t>
  </si>
  <si>
    <t>PIRIAPOLIS</t>
  </si>
  <si>
    <t>2026/01/01 00:00:00</t>
  </si>
  <si>
    <t>2026/06/30 00:00:00</t>
  </si>
  <si>
    <t>SANTANDER</t>
  </si>
  <si>
    <t>0952585</t>
  </si>
  <si>
    <t>S</t>
  </si>
  <si>
    <t>A</t>
  </si>
  <si>
    <t>Soltero</t>
  </si>
  <si>
    <t>ARGENTINA</t>
  </si>
  <si>
    <t>A-0399/2026</t>
  </si>
  <si>
    <t>006/1</t>
  </si>
  <si>
    <t>HECTOR OSCAR CAMPANA</t>
  </si>
  <si>
    <t>F</t>
  </si>
  <si>
    <t>2025-09-11 15:24:43</t>
  </si>
  <si>
    <t>ARRAIGADA  GUTIERREZ</t>
  </si>
  <si>
    <t>ESTEFANIA</t>
  </si>
  <si>
    <t>0720247888000009280168</t>
  </si>
  <si>
    <t>0000000029865877</t>
  </si>
  <si>
    <t>tefaarraigada@gmail.com</t>
  </si>
  <si>
    <t>Rivadavia</t>
  </si>
  <si>
    <t>Gorriti</t>
  </si>
  <si>
    <t>2153-2154</t>
  </si>
  <si>
    <t>0928016</t>
  </si>
  <si>
    <t>2025-09-23 13:42:48</t>
  </si>
  <si>
    <t>ARRASCAETA</t>
  </si>
  <si>
    <t>GERMAN ANIBAL</t>
  </si>
  <si>
    <t>0720247888000010970090</t>
  </si>
  <si>
    <t>0000000045945001</t>
  </si>
  <si>
    <t>GERMAN.ARRASCAETA@GMAIL.COM</t>
  </si>
  <si>
    <t>CERRO DE LAS ROSAS</t>
  </si>
  <si>
    <t>GOB JOSE ESTEBAN BUSTOS 1646</t>
  </si>
  <si>
    <t>2025-09-23 13:30:24</t>
  </si>
  <si>
    <t>N</t>
  </si>
  <si>
    <t>M</t>
  </si>
  <si>
    <t>2025-10-21 12:56:24</t>
  </si>
  <si>
    <t>BARALE</t>
  </si>
  <si>
    <t>TEJERINA RITA</t>
  </si>
  <si>
    <t>0720247888000009351790</t>
  </si>
  <si>
    <t>0000000031413687</t>
  </si>
  <si>
    <t>BARALE@GMAIL.COM</t>
  </si>
  <si>
    <t>NUEVA CORDOBA</t>
  </si>
  <si>
    <t>BV ILLIA</t>
  </si>
  <si>
    <t>0935179</t>
  </si>
  <si>
    <t>2025-08-19 19:36:52</t>
  </si>
  <si>
    <t>BELTRAMINO</t>
  </si>
  <si>
    <t>ALICIA SUSANA</t>
  </si>
  <si>
    <t>0720247888000010012240</t>
  </si>
  <si>
    <t>0000000039062384</t>
  </si>
  <si>
    <t>aliciabe2002@GMAIL.COM</t>
  </si>
  <si>
    <t>COFICO</t>
  </si>
  <si>
    <t>JOSE MARIA BEDOYA</t>
  </si>
  <si>
    <t>2024-09-20 16:33:26</t>
  </si>
  <si>
    <t>Casado</t>
  </si>
  <si>
    <t>2024-10-13 14:00:47</t>
  </si>
  <si>
    <t>BERTONI</t>
  </si>
  <si>
    <t>ANGELA</t>
  </si>
  <si>
    <t>0720247888000009719736</t>
  </si>
  <si>
    <t>0000000036146469</t>
  </si>
  <si>
    <t>BERTONI@GMAIL.COM</t>
  </si>
  <si>
    <t>SAN MARTIN</t>
  </si>
  <si>
    <t>Jose Maria Galan</t>
  </si>
  <si>
    <t>PA</t>
  </si>
  <si>
    <t>0971973</t>
  </si>
  <si>
    <t>2025-10-20 13:59:02</t>
  </si>
  <si>
    <t>BESSONE</t>
  </si>
  <si>
    <t>UNREIN MATEO</t>
  </si>
  <si>
    <t>0720247888000009337222</t>
  </si>
  <si>
    <t>0000000015371296</t>
  </si>
  <si>
    <t>SIN ESPECIFICAR</t>
  </si>
  <si>
    <t>COLON</t>
  </si>
  <si>
    <t>SALDAN</t>
  </si>
  <si>
    <t>PRADOS DE LA VILLA</t>
  </si>
  <si>
    <t>lote 3-manzana 6</t>
  </si>
  <si>
    <t>s/n</t>
  </si>
  <si>
    <t>0933722</t>
  </si>
  <si>
    <t>2025-03-06 15:01:08</t>
  </si>
  <si>
    <t>BICECCI</t>
  </si>
  <si>
    <t>EDGAR SERGIO RODOLFO</t>
  </si>
  <si>
    <t>0720247888000009202418</t>
  </si>
  <si>
    <t>0000000029865336</t>
  </si>
  <si>
    <t>esrbicecci@hotmail.com</t>
  </si>
  <si>
    <t>Capital</t>
  </si>
  <si>
    <t>Nueva Córdoba</t>
  </si>
  <si>
    <t>av. Poeta Lugones</t>
  </si>
  <si>
    <t>D</t>
  </si>
  <si>
    <t>0920241</t>
  </si>
  <si>
    <t>2026-02-04 13:06:04</t>
  </si>
  <si>
    <t>BRUNELLI</t>
  </si>
  <si>
    <t>GIORGIS RODRIGO CARLOS</t>
  </si>
  <si>
    <t>0720247888000009700240</t>
  </si>
  <si>
    <t>0000000031733345</t>
  </si>
  <si>
    <t>brunelligioro@gmail.com</t>
  </si>
  <si>
    <t>CACERES DE ALLENDE</t>
  </si>
  <si>
    <t>0970024</t>
  </si>
  <si>
    <t>2024-10-16 15:13:00</t>
  </si>
  <si>
    <t>BUCETA  RINAUDO</t>
  </si>
  <si>
    <t>LOURDES</t>
  </si>
  <si>
    <t>0720247888000009355068</t>
  </si>
  <si>
    <t>0000000031733604</t>
  </si>
  <si>
    <t>lulibucetarinaudo@gmail.com</t>
  </si>
  <si>
    <t>Córdoba</t>
  </si>
  <si>
    <t>Pasaje España</t>
  </si>
  <si>
    <t>0935506</t>
  </si>
  <si>
    <t>2024-08-27 16:38:35</t>
  </si>
  <si>
    <t>BUSSO</t>
  </si>
  <si>
    <t>JULIA</t>
  </si>
  <si>
    <t>0720247888000039040886</t>
  </si>
  <si>
    <t>0000000029866643</t>
  </si>
  <si>
    <t>ju.busso.99@gmail.com</t>
  </si>
  <si>
    <t>OBSERVATORIO</t>
  </si>
  <si>
    <t>MONTEVIDEO</t>
  </si>
  <si>
    <t>C</t>
  </si>
  <si>
    <t>2026-01-23 13:32:08</t>
  </si>
  <si>
    <t>CAMPILLAY</t>
  </si>
  <si>
    <t>SILVIA LORENA</t>
  </si>
  <si>
    <t>0720066388000002282154</t>
  </si>
  <si>
    <t>0000000031412560</t>
  </si>
  <si>
    <t>LORECAMPILLAY@GMAIL.COM</t>
  </si>
  <si>
    <t>PARQUE HORIZONTE</t>
  </si>
  <si>
    <t>LAS VEGAS</t>
  </si>
  <si>
    <t>0228215</t>
  </si>
  <si>
    <t>2024-09-20 16:57:10</t>
  </si>
  <si>
    <t>CAMUZZI ACOSTA</t>
  </si>
  <si>
    <t>GUSTAVO MARTIN</t>
  </si>
  <si>
    <t>0720247888000010411672</t>
  </si>
  <si>
    <t>0000000042355401</t>
  </si>
  <si>
    <t>CAMUZZI@GAMIL.COM</t>
  </si>
  <si>
    <t>AMP. PALMAR</t>
  </si>
  <si>
    <t>PIERO ASTORI</t>
  </si>
  <si>
    <t>2025-01-24 16:30:31</t>
  </si>
  <si>
    <t>ARGENTINO</t>
  </si>
  <si>
    <t>2025-02-21 12:58:04</t>
  </si>
  <si>
    <t>CANZIANI CRISTIAN OSCAR</t>
  </si>
  <si>
    <t xml:space="preserve">CANZIANI  </t>
  </si>
  <si>
    <t xml:space="preserve">CRISTIAN OSCAR </t>
  </si>
  <si>
    <t>0720247888000009102954</t>
  </si>
  <si>
    <t>0000000010492273</t>
  </si>
  <si>
    <t>0902</t>
  </si>
  <si>
    <t>ccanziani1@gmail.com</t>
  </si>
  <si>
    <t>Colon</t>
  </si>
  <si>
    <t>MENDIOLAZA</t>
  </si>
  <si>
    <t>MOLINOS DEL VIENTO</t>
  </si>
  <si>
    <t>MANZANA 29- LOTE 81</t>
  </si>
  <si>
    <t>0910295</t>
  </si>
  <si>
    <t>2024-07-10 16:00:09</t>
  </si>
  <si>
    <t>CARBALLO</t>
  </si>
  <si>
    <t>0720247888000039043472</t>
  </si>
  <si>
    <t>0000000029865904</t>
  </si>
  <si>
    <t>camilacarballo751@gmail.com</t>
  </si>
  <si>
    <t>Nueva Cordoba</t>
  </si>
  <si>
    <t>Chacabuco</t>
  </si>
  <si>
    <t>arg</t>
  </si>
  <si>
    <t>2025-10-17 13:23:22</t>
  </si>
  <si>
    <t>CARDOZO</t>
  </si>
  <si>
    <t>VERONICA RAQUEL</t>
  </si>
  <si>
    <t>0720247888000010969690</t>
  </si>
  <si>
    <t>0000000045945006</t>
  </si>
  <si>
    <t>cardozoveronicar@gmail.com</t>
  </si>
  <si>
    <t>General Paz</t>
  </si>
  <si>
    <t>2025-09-23 13:17:14</t>
  </si>
  <si>
    <t>2025-10-21 12:59:39</t>
  </si>
  <si>
    <t>CARLETTO</t>
  </si>
  <si>
    <t>NOELIA SOLEDAD</t>
  </si>
  <si>
    <t>0720247888000009151536</t>
  </si>
  <si>
    <t>0000000029866206</t>
  </si>
  <si>
    <t>noeliacarletto@gmail.com</t>
  </si>
  <si>
    <t>MARIANO BALCARCE</t>
  </si>
  <si>
    <t>ACONCAGUA</t>
  </si>
  <si>
    <t>2025-09-23 13:40:26</t>
  </si>
  <si>
    <t>CARRERAS</t>
  </si>
  <si>
    <t>MARIELA PAULA</t>
  </si>
  <si>
    <t>0720247888000009291490</t>
  </si>
  <si>
    <t>0000000035369657</t>
  </si>
  <si>
    <t>MARIELAPAULACARRERAS@GMAIL.COM</t>
  </si>
  <si>
    <t>LOS ROBLES</t>
  </si>
  <si>
    <t>DOCENTES ARGENTINOS</t>
  </si>
  <si>
    <t>0929149</t>
  </si>
  <si>
    <t>2026-01-21 19:12:47</t>
  </si>
  <si>
    <t>CARRIZO CAROLINA</t>
  </si>
  <si>
    <t xml:space="preserve">CARRIZO  </t>
  </si>
  <si>
    <t xml:space="preserve">CAROLINA </t>
  </si>
  <si>
    <t>0720247888000009826704</t>
  </si>
  <si>
    <t>0000000035369634</t>
  </si>
  <si>
    <t>chiquicarizo5@yahoo.com.ar</t>
  </si>
  <si>
    <t>ALTO ALBERDI</t>
  </si>
  <si>
    <t>CASEROS</t>
  </si>
  <si>
    <t>2024-07-15 16:42:07</t>
  </si>
  <si>
    <t>CATINARI</t>
  </si>
  <si>
    <t>GINO LUCIANO</t>
  </si>
  <si>
    <t>0720247888000009319554</t>
  </si>
  <si>
    <t>0000000036146603</t>
  </si>
  <si>
    <t>ginocatinari@gmail.com</t>
  </si>
  <si>
    <t>PARQUE CAPITAL SUR</t>
  </si>
  <si>
    <t>TRONADOR</t>
  </si>
  <si>
    <t>2026-01-21 19:02:57</t>
  </si>
  <si>
    <t>CEBOLLERO</t>
  </si>
  <si>
    <t>BRUNO MATEO</t>
  </si>
  <si>
    <t>0720247888000009826254</t>
  </si>
  <si>
    <t>0000000037857624</t>
  </si>
  <si>
    <t>brunomateo.savor@gmail.com</t>
  </si>
  <si>
    <t>ALBERDI</t>
  </si>
  <si>
    <t>SANTA ROSA</t>
  </si>
  <si>
    <t>2024-07-12 16:18:10</t>
  </si>
  <si>
    <t>2025-09-29 14:06:57</t>
  </si>
  <si>
    <t>COLL</t>
  </si>
  <si>
    <t>MANUEL SANTIAGO</t>
  </si>
  <si>
    <t>0720247888000011399140</t>
  </si>
  <si>
    <t>0000000048248072</t>
  </si>
  <si>
    <t>collmanu@gmail.com</t>
  </si>
  <si>
    <t>CORRO</t>
  </si>
  <si>
    <t>B</t>
  </si>
  <si>
    <t>2026/05/01 00:00:00</t>
  </si>
  <si>
    <t>2026-04-16 16:01:37</t>
  </si>
  <si>
    <t>CÓRDOBA</t>
  </si>
  <si>
    <t>2026-05-12 15:43:26</t>
  </si>
  <si>
    <t>COZZA</t>
  </si>
  <si>
    <t>ALEJANDRO ALBERTO</t>
  </si>
  <si>
    <t>0720247888000009120172</t>
  </si>
  <si>
    <t>0000000010492724</t>
  </si>
  <si>
    <t>0914</t>
  </si>
  <si>
    <t>alejandrocozza@gmail.com</t>
  </si>
  <si>
    <t>GENERAL PAZ</t>
  </si>
  <si>
    <t>0912017</t>
  </si>
  <si>
    <t>2024-07-25 17:24:31</t>
  </si>
  <si>
    <t>D  ALESSANDRO</t>
  </si>
  <si>
    <t>PEDRO ANDRES</t>
  </si>
  <si>
    <t>0720247888000038987090</t>
  </si>
  <si>
    <t>0000000036146606</t>
  </si>
  <si>
    <t>DALESSANDROPEDRO@GMAIL.COM</t>
  </si>
  <si>
    <t>CORODBA</t>
  </si>
  <si>
    <t>PASO DE LOS ANDES</t>
  </si>
  <si>
    <t>PEDRO J FRIAS</t>
  </si>
  <si>
    <t>2025-07-17 14:34:38</t>
  </si>
  <si>
    <t>D´ALMEIDA</t>
  </si>
  <si>
    <t>MICAELA  ROMELIA</t>
  </si>
  <si>
    <t>0720247888000010895236</t>
  </si>
  <si>
    <t>0000000045343942</t>
  </si>
  <si>
    <t>micadealamedia@gamil.com</t>
  </si>
  <si>
    <t>ALTA CORDOBA</t>
  </si>
  <si>
    <t>TRAFALGAR</t>
  </si>
  <si>
    <t>2025-08-19 18:32:20</t>
  </si>
  <si>
    <t>2025-09-29 14:14:40</t>
  </si>
  <si>
    <t>DE AVILA CUNHA PILAR</t>
  </si>
  <si>
    <t xml:space="preserve">DE  </t>
  </si>
  <si>
    <t xml:space="preserve">AVILA CUNHA PILAR </t>
  </si>
  <si>
    <t>0720247888000009809268</t>
  </si>
  <si>
    <t>0000000038568364</t>
  </si>
  <si>
    <t>pilideavilacunha@gmail.com</t>
  </si>
  <si>
    <t>CALERA CENTRAL</t>
  </si>
  <si>
    <t>Cjal Retto</t>
  </si>
  <si>
    <t>2024-07-15 17:28:57</t>
  </si>
  <si>
    <t>2024-07-17 11:45:53</t>
  </si>
  <si>
    <t>DIAZ</t>
  </si>
  <si>
    <t>MILAGROS</t>
  </si>
  <si>
    <t>0720247888000009681268</t>
  </si>
  <si>
    <t>0000000036146353</t>
  </si>
  <si>
    <t>milidiaz1210@gmail.com</t>
  </si>
  <si>
    <t>PARQUE DE LA VEGA III</t>
  </si>
  <si>
    <t>MANUEL GRANDE</t>
  </si>
  <si>
    <t>0968126</t>
  </si>
  <si>
    <t>2025-01-27 14:50:33</t>
  </si>
  <si>
    <t>LUCIA BELEN</t>
  </si>
  <si>
    <t>0720247888000009443136</t>
  </si>
  <si>
    <t>0000000032850305</t>
  </si>
  <si>
    <t>luciabelendiaz7@gmail.com</t>
  </si>
  <si>
    <t>LICEO PROCREAR</t>
  </si>
  <si>
    <t>Mza 45 Lote 13</t>
  </si>
  <si>
    <t>O</t>
  </si>
  <si>
    <t>0944313</t>
  </si>
  <si>
    <t>2025-01-27 14:57:49</t>
  </si>
  <si>
    <t>DIBERTI PABLO</t>
  </si>
  <si>
    <t xml:space="preserve">DIBERTI  </t>
  </si>
  <si>
    <t xml:space="preserve">PABLO </t>
  </si>
  <si>
    <t>0720390788000037329686</t>
  </si>
  <si>
    <t>0000000029865601</t>
  </si>
  <si>
    <t>pdiberti.10@gmail.com</t>
  </si>
  <si>
    <t>2024-07-15 12:44:33</t>
  </si>
  <si>
    <t>DOMIJAN DEYMIE ALINA NOEL</t>
  </si>
  <si>
    <t xml:space="preserve">DOMIJAN  DEYMIE </t>
  </si>
  <si>
    <t xml:space="preserve"> ALINA NOEL </t>
  </si>
  <si>
    <t>0720247888000009175554</t>
  </si>
  <si>
    <t>0000000029866078</t>
  </si>
  <si>
    <t>alinadomijan@yahoo.com.ar</t>
  </si>
  <si>
    <t>Altos de Gral. Paz</t>
  </si>
  <si>
    <t>Eufrasio Loza</t>
  </si>
  <si>
    <t>0917555</t>
  </si>
  <si>
    <t>2024-07-15 12:51:16</t>
  </si>
  <si>
    <t>FIGUEROA MARTÍN RODRIGO</t>
  </si>
  <si>
    <t xml:space="preserve">FIGUEROA  </t>
  </si>
  <si>
    <t xml:space="preserve">MARTÍN RODRIGO </t>
  </si>
  <si>
    <t>0720247888000009563418</t>
  </si>
  <si>
    <t>0000000029865559</t>
  </si>
  <si>
    <t>CENTRO</t>
  </si>
  <si>
    <t>3° 6</t>
  </si>
  <si>
    <t>2024-07-04 16:49:32</t>
  </si>
  <si>
    <t>FRACASSI GONZALO MARTIN</t>
  </si>
  <si>
    <t xml:space="preserve">FRACASSI  </t>
  </si>
  <si>
    <t xml:space="preserve">GONZALO MARTIN </t>
  </si>
  <si>
    <t>0720247888000009868940</t>
  </si>
  <si>
    <t>0000000038568392</t>
  </si>
  <si>
    <t>gonzalocalera@hotmail.com</t>
  </si>
  <si>
    <t>LA CALERA</t>
  </si>
  <si>
    <t>CJAL. RETTO</t>
  </si>
  <si>
    <t>2024-07-15 17:33:38</t>
  </si>
  <si>
    <t>2024-07-16 19:20:43</t>
  </si>
  <si>
    <t>GARIMALDI DANIEL FABIAN</t>
  </si>
  <si>
    <t xml:space="preserve">GARIMALDI  </t>
  </si>
  <si>
    <t xml:space="preserve">DANIEL FABIAN </t>
  </si>
  <si>
    <t>0720247888000009164390</t>
  </si>
  <si>
    <t>0000000031412334</t>
  </si>
  <si>
    <t>danielfgarimaldi@gmail.com</t>
  </si>
  <si>
    <t>Urca</t>
  </si>
  <si>
    <t>SATURNINO SEGUROLA</t>
  </si>
  <si>
    <t>0916439</t>
  </si>
  <si>
    <t>2024-07-03 18:19:15</t>
  </si>
  <si>
    <t>GAZAL</t>
  </si>
  <si>
    <t>MARIA CELESTE</t>
  </si>
  <si>
    <t>0720247888000010590490</t>
  </si>
  <si>
    <t>0000000043694602</t>
  </si>
  <si>
    <t>celestemuchelle@gmail.com</t>
  </si>
  <si>
    <t>QUINTAS DE FLORES</t>
  </si>
  <si>
    <t>Obispo Salguero</t>
  </si>
  <si>
    <t>2025-04-22 17:29:54</t>
  </si>
  <si>
    <t>2025-09-26 15:44:56</t>
  </si>
  <si>
    <t>GIOVANNONI CAMINOS</t>
  </si>
  <si>
    <t>GRACIELA MARIA</t>
  </si>
  <si>
    <t>0720247888000010972454</t>
  </si>
  <si>
    <t>0000000045945008</t>
  </si>
  <si>
    <t>GIOVANNONIM@GMAIL.COM</t>
  </si>
  <si>
    <t>VILLA CABRERA</t>
  </si>
  <si>
    <t>ARMENDARIZ JOSE</t>
  </si>
  <si>
    <t>2025-09-23 13:28:34</t>
  </si>
  <si>
    <t>2025-10-28 12:08:26</t>
  </si>
  <si>
    <t>GIUDICE</t>
  </si>
  <si>
    <t>JUAN IGNACIO</t>
  </si>
  <si>
    <t>0720247888000009463954</t>
  </si>
  <si>
    <t>0000000029865570</t>
  </si>
  <si>
    <t>JUANIGNACIO124@HOTMAIL.COM</t>
  </si>
  <si>
    <t>VILLA BELGRANO</t>
  </si>
  <si>
    <t>JUSTO LIEBIG</t>
  </si>
  <si>
    <t>2025-09-23 13:37:05</t>
  </si>
  <si>
    <t>GONZALEZ</t>
  </si>
  <si>
    <t>MICOLINI MARÍA JOSEFINA</t>
  </si>
  <si>
    <t>0720246188000037060668</t>
  </si>
  <si>
    <t>0000000031413620</t>
  </si>
  <si>
    <t>MARLAUGONZALEZ@gmail.com</t>
  </si>
  <si>
    <t>JESUS MARIA</t>
  </si>
  <si>
    <t>-</t>
  </si>
  <si>
    <t>MAIPU</t>
  </si>
  <si>
    <t>2024-09-20 16:36:39</t>
  </si>
  <si>
    <t>HADAD SAYANS</t>
  </si>
  <si>
    <t>MAYRA</t>
  </si>
  <si>
    <t>0720247888000011029586</t>
  </si>
  <si>
    <t>0000000046260888</t>
  </si>
  <si>
    <t>MAYRAHADAD9@GMAIL.COM</t>
  </si>
  <si>
    <t>MARQUES DE SOBREMONTE</t>
  </si>
  <si>
    <t>DE LOS REGIDORES</t>
  </si>
  <si>
    <t>2025-10-20 14:30:07</t>
  </si>
  <si>
    <t>2025-11-17 18:14:59</t>
  </si>
  <si>
    <t>HEIL</t>
  </si>
  <si>
    <t>DANA</t>
  </si>
  <si>
    <t>0720247888000009720822</t>
  </si>
  <si>
    <t>0000000035369682</t>
  </si>
  <si>
    <t>danaheil1986@gmail.com</t>
  </si>
  <si>
    <t>INSDUSTRIAL</t>
  </si>
  <si>
    <t>RUBEN DARIO</t>
  </si>
  <si>
    <t>PB</t>
  </si>
  <si>
    <t>0972082</t>
  </si>
  <si>
    <t>2025-03-05 20:20:11</t>
  </si>
  <si>
    <t>JARRYS</t>
  </si>
  <si>
    <t>GISELA JUDITH</t>
  </si>
  <si>
    <t>0720066388000038651968</t>
  </si>
  <si>
    <t>0000000034792044</t>
  </si>
  <si>
    <t>GIJARRYS@HOTMAIL.COM</t>
  </si>
  <si>
    <t>2025-09-19 16:58:20</t>
  </si>
  <si>
    <t>LUCERO</t>
  </si>
  <si>
    <t>NATALIA MAGALI</t>
  </si>
  <si>
    <t>0720247888000010969836</t>
  </si>
  <si>
    <t>0000000045945015</t>
  </si>
  <si>
    <t>luceromaga@gmail.com</t>
  </si>
  <si>
    <t>DEAN FUNES</t>
  </si>
  <si>
    <t>BOULEVAR CANGALLO</t>
  </si>
  <si>
    <t>2025-09-23 13:19:27</t>
  </si>
  <si>
    <t>2025-10-28 12:07:30</t>
  </si>
  <si>
    <t>MANCA</t>
  </si>
  <si>
    <t>FLORENCIA AGUSTINA</t>
  </si>
  <si>
    <t>0720247888000009791372</t>
  </si>
  <si>
    <t>0000000032514130</t>
  </si>
  <si>
    <t>agustinamanca@gmail.com</t>
  </si>
  <si>
    <t>GUEMES</t>
  </si>
  <si>
    <t>BRASIL</t>
  </si>
  <si>
    <t>2024-07-08 18:57:42</t>
  </si>
  <si>
    <t>2026-01-23 13:13:15</t>
  </si>
  <si>
    <t>MARQUISIO</t>
  </si>
  <si>
    <t>SERGIO LUIS RAMON</t>
  </si>
  <si>
    <t>0720247888000009144886</t>
  </si>
  <si>
    <t>0000000034792063</t>
  </si>
  <si>
    <t>AUDIOSERCH@GMAIL.COM</t>
  </si>
  <si>
    <t>ROSEDAL</t>
  </si>
  <si>
    <t>URITORCO</t>
  </si>
  <si>
    <t>2025-04-24 15:47:26</t>
  </si>
  <si>
    <t>MARTIN</t>
  </si>
  <si>
    <t>PABLO DANIEL</t>
  </si>
  <si>
    <t>0720247888000011037222</t>
  </si>
  <si>
    <t>0000000046518401</t>
  </si>
  <si>
    <t>PABLODMARTIN90@GMAIL.COM</t>
  </si>
  <si>
    <t>ALEJANDRO CENTENO</t>
  </si>
  <si>
    <t>JUAN GANDASEGUI</t>
  </si>
  <si>
    <t>2025-10-20 13:33:20</t>
  </si>
  <si>
    <t>2025-12-09 14:50:44</t>
  </si>
  <si>
    <t>MARTINEZ</t>
  </si>
  <si>
    <t>MARIA JULIETA</t>
  </si>
  <si>
    <t>0720247888000010408504</t>
  </si>
  <si>
    <t>0000000042355466</t>
  </si>
  <si>
    <t>mmjulieta2@gmail.com</t>
  </si>
  <si>
    <t>GENERAL BUSTOS</t>
  </si>
  <si>
    <t>ACEVEY</t>
  </si>
  <si>
    <t>2025-01-27 14:06:42</t>
  </si>
  <si>
    <t>2026-01-23 12:43:10</t>
  </si>
  <si>
    <t>MATEU</t>
  </si>
  <si>
    <t>ALBERTO OSVALDO</t>
  </si>
  <si>
    <t>0720247888000009558290</t>
  </si>
  <si>
    <t>0000000035369617</t>
  </si>
  <si>
    <t>alberto.mateu@gmail.com</t>
  </si>
  <si>
    <t>0955829</t>
  </si>
  <si>
    <t>2025-02-10 16:18:25</t>
  </si>
  <si>
    <t>MERCADO</t>
  </si>
  <si>
    <t>ANA VERONICA</t>
  </si>
  <si>
    <t>0720247888000009217568</t>
  </si>
  <si>
    <t>0000000019303450</t>
  </si>
  <si>
    <t>VEROMERCADO15@GMAIL.COM</t>
  </si>
  <si>
    <t>SAN VICENTE</t>
  </si>
  <si>
    <t>SAN JERONIMO</t>
  </si>
  <si>
    <t>0921756</t>
  </si>
  <si>
    <t>2025-01-29 14:35:31</t>
  </si>
  <si>
    <t>MORICONI</t>
  </si>
  <si>
    <t>MARIA DE LOS ANGELES</t>
  </si>
  <si>
    <t>0720247888000010405222</t>
  </si>
  <si>
    <t>0000000042355484</t>
  </si>
  <si>
    <t>angelesmoriconi@gmail.com</t>
  </si>
  <si>
    <t>MAGARIÑOS CERVANTES</t>
  </si>
  <si>
    <t>2025-01-28 14:40:54</t>
  </si>
  <si>
    <t>2025-02-20 19:29:32</t>
  </si>
  <si>
    <t>MORONI  ROMERO</t>
  </si>
  <si>
    <t>CAROLINA ORIANA</t>
  </si>
  <si>
    <t>0720247888000009533422</t>
  </si>
  <si>
    <t>0000000034792030</t>
  </si>
  <si>
    <t>CAROMORONI16@GMAIL.COM</t>
  </si>
  <si>
    <t>JARDIN ESPINOSA</t>
  </si>
  <si>
    <t>SANTA MARTA</t>
  </si>
  <si>
    <t>0953342</t>
  </si>
  <si>
    <t>2026-01-21 19:12:20</t>
  </si>
  <si>
    <t>MOSQUERA</t>
  </si>
  <si>
    <t>MARIA  SOL</t>
  </si>
  <si>
    <t>0720247888000010692172</t>
  </si>
  <si>
    <t>0000000010119549</t>
  </si>
  <si>
    <t>0900</t>
  </si>
  <si>
    <t>MARIASOLMOSQUERA@GMAIL.COM</t>
  </si>
  <si>
    <t>SAN JOSE DE CALASANZ</t>
  </si>
  <si>
    <t>2025-05-26 18:39:56</t>
  </si>
  <si>
    <t>2025-06-25 14:07:48</t>
  </si>
  <si>
    <t>MOYANO  GRECO</t>
  </si>
  <si>
    <t>MARÍA CRUZ</t>
  </si>
  <si>
    <t>0720247888000039192990</t>
  </si>
  <si>
    <t>0000000031733522</t>
  </si>
  <si>
    <t>cruzmoyanog@gmail.com</t>
  </si>
  <si>
    <t>Parque Capital</t>
  </si>
  <si>
    <t>CERRO CONICO</t>
  </si>
  <si>
    <t>2024-08-26 16:03:11</t>
  </si>
  <si>
    <t>MOYANO  KOBELT</t>
  </si>
  <si>
    <t>TOMAS EZEQUIEL</t>
  </si>
  <si>
    <t>0720576788000000919340</t>
  </si>
  <si>
    <t>0000000036146667</t>
  </si>
  <si>
    <t>tomasmoyano1232@gmail.com</t>
  </si>
  <si>
    <t>Parque de Don Bosco</t>
  </si>
  <si>
    <t>Av Pablo Ardizone</t>
  </si>
  <si>
    <t>0091934</t>
  </si>
  <si>
    <t>2024-08-26 16:09:42</t>
  </si>
  <si>
    <t>MURUA CESAR EDGARDO</t>
  </si>
  <si>
    <t xml:space="preserve">MURUA  </t>
  </si>
  <si>
    <t xml:space="preserve">CESAR EDGARDO </t>
  </si>
  <si>
    <t>0720247888000009152768</t>
  </si>
  <si>
    <t>0000000035369654</t>
  </si>
  <si>
    <t>murua.c@gmail.com</t>
  </si>
  <si>
    <t>EDMUNDO MARIOTTE</t>
  </si>
  <si>
    <t>0915276</t>
  </si>
  <si>
    <t>2024-07-17 14:50:38</t>
  </si>
  <si>
    <t>NACIF ROMERO</t>
  </si>
  <si>
    <t>SIMON NADIR DE JESUS</t>
  </si>
  <si>
    <t>2850836640095191066418</t>
  </si>
  <si>
    <t>0000000031413640</t>
  </si>
  <si>
    <t>rosigar5@hotmail.com</t>
  </si>
  <si>
    <t>CORDOBA - CORDOBA CAPITAL</t>
  </si>
  <si>
    <t>COLINAS DE VELEZ SARFIELD</t>
  </si>
  <si>
    <t>JUAN GIL</t>
  </si>
  <si>
    <t>OTROS</t>
  </si>
  <si>
    <t>2025-02-19 13:43:24</t>
  </si>
  <si>
    <t>NICOLAS  AMAYA</t>
  </si>
  <si>
    <t>CHRISTIAN MARTIN</t>
  </si>
  <si>
    <t>0720390788000000252122</t>
  </si>
  <si>
    <t>0000000036146332</t>
  </si>
  <si>
    <t>christian.amaya@outlook.com</t>
  </si>
  <si>
    <t>Río Ceballos</t>
  </si>
  <si>
    <t>Villa Catalina</t>
  </si>
  <si>
    <t>MANZANA 3 LOTE 22</t>
  </si>
  <si>
    <t>2025-10-20 13:59:12</t>
  </si>
  <si>
    <t>OCAMPO</t>
  </si>
  <si>
    <t>MARA GRISELDA</t>
  </si>
  <si>
    <t>0720247888000009224218</t>
  </si>
  <si>
    <t>0000000011686707</t>
  </si>
  <si>
    <t>ocampomaragris80@gmail.com</t>
  </si>
  <si>
    <t>VILLA UNION</t>
  </si>
  <si>
    <t>ATACAMA</t>
  </si>
  <si>
    <t>0922421</t>
  </si>
  <si>
    <t>2026-01-21 19:04:05</t>
  </si>
  <si>
    <t>ORTIZ</t>
  </si>
  <si>
    <t>AXEL JOEL</t>
  </si>
  <si>
    <t>0720247888000009822672</t>
  </si>
  <si>
    <t>0000000036146633</t>
  </si>
  <si>
    <t>axelortiiz@gmail.com</t>
  </si>
  <si>
    <t>La France</t>
  </si>
  <si>
    <t>Diaguitas</t>
  </si>
  <si>
    <t>DPTO 2</t>
  </si>
  <si>
    <t>2025-01-27 14:51:41</t>
  </si>
  <si>
    <t>PALACIOS  CAVION</t>
  </si>
  <si>
    <t>GUSTAVO DANIEL</t>
  </si>
  <si>
    <t>0720247888000009456686</t>
  </si>
  <si>
    <t>0000000031412860</t>
  </si>
  <si>
    <t>gpalacioscavion@gmail.com</t>
  </si>
  <si>
    <t>Alberdi</t>
  </si>
  <si>
    <t>9 de Julio</t>
  </si>
  <si>
    <t>d</t>
  </si>
  <si>
    <t>0945668</t>
  </si>
  <si>
    <t>2025-09-23 13:14:08</t>
  </si>
  <si>
    <t>PEDONI</t>
  </si>
  <si>
    <t>MATIAS DANIEL</t>
  </si>
  <si>
    <t>0720247888000009131022</t>
  </si>
  <si>
    <t>0000000029865476</t>
  </si>
  <si>
    <t>matiaspedoni@gmail.com</t>
  </si>
  <si>
    <t>Villa Allende</t>
  </si>
  <si>
    <t>Lomas</t>
  </si>
  <si>
    <t>Talavera de la Reina</t>
  </si>
  <si>
    <t>0913102</t>
  </si>
  <si>
    <t>2025-09-23 13:33:41</t>
  </si>
  <si>
    <t>PIAZZA</t>
  </si>
  <si>
    <t>ROLANDO OMAR</t>
  </si>
  <si>
    <t>0720247888000009435568</t>
  </si>
  <si>
    <t>0000000029865387</t>
  </si>
  <si>
    <t>ROLPIAZZA@HOTMAIL.COM</t>
  </si>
  <si>
    <t>SAN FERNANDO</t>
  </si>
  <si>
    <t>ERNESTO BOSCH</t>
  </si>
  <si>
    <t>0943556</t>
  </si>
  <si>
    <t>2024-10-23 19:21:37</t>
  </si>
  <si>
    <t>GIULIANO JOSE</t>
  </si>
  <si>
    <t>0720247888000009797318</t>
  </si>
  <si>
    <t>0000000036146656</t>
  </si>
  <si>
    <t>giulipiazza5@gmail.com</t>
  </si>
  <si>
    <t>San Fernando</t>
  </si>
  <si>
    <t>Ernesto Bosch</t>
  </si>
  <si>
    <t>CBA</t>
  </si>
  <si>
    <t>2025-07-17 16:03:30</t>
  </si>
  <si>
    <t>FIAMMA</t>
  </si>
  <si>
    <t>0720247888000009789504</t>
  </si>
  <si>
    <t>0000000036146624</t>
  </si>
  <si>
    <t>fiamipiazza@hotmail.com</t>
  </si>
  <si>
    <t>Bouwer</t>
  </si>
  <si>
    <t>Camino 60 cuadras km 15</t>
  </si>
  <si>
    <t>2025-07-17 16:04:52</t>
  </si>
  <si>
    <t>PIÑERO</t>
  </si>
  <si>
    <t>CARLOS ALBERTO</t>
  </si>
  <si>
    <t>0720390788000037344386</t>
  </si>
  <si>
    <t>0000000010492095</t>
  </si>
  <si>
    <t>Piñerocarlos@gmail.com</t>
  </si>
  <si>
    <t>CURA BROCHERO</t>
  </si>
  <si>
    <t>2024-10-16 15:30:49</t>
  </si>
  <si>
    <t>PISANI MARIA JOSE</t>
  </si>
  <si>
    <t xml:space="preserve">PISANI  </t>
  </si>
  <si>
    <t xml:space="preserve">MARIA JOSE </t>
  </si>
  <si>
    <t>0720374788000000842222</t>
  </si>
  <si>
    <t>0000000036146616</t>
  </si>
  <si>
    <t>mariajosepisani@gmail.com</t>
  </si>
  <si>
    <t>Tancacha</t>
  </si>
  <si>
    <t>Centro</t>
  </si>
  <si>
    <t>Av San Martín</t>
  </si>
  <si>
    <t>0084222</t>
  </si>
  <si>
    <t>2024-07-03 18:40:48</t>
  </si>
  <si>
    <t>RINAUDO</t>
  </si>
  <si>
    <t>FRANCO SEBASTIAN</t>
  </si>
  <si>
    <t>0720247888000010894790</t>
  </si>
  <si>
    <t>0000000045343967</t>
  </si>
  <si>
    <t>franco.rinaudo@live.com</t>
  </si>
  <si>
    <t>LOS PLATANOS</t>
  </si>
  <si>
    <t>COMECHINGONES</t>
  </si>
  <si>
    <t>2025-08-19 18:30:07</t>
  </si>
  <si>
    <t>2025-09-03 15:13:02</t>
  </si>
  <si>
    <t>SABAS CARPENZANO ASHLEY MAILEN</t>
  </si>
  <si>
    <t xml:space="preserve">SABAS  CARPENZANO </t>
  </si>
  <si>
    <t xml:space="preserve"> ASHLEY MAILEN </t>
  </si>
  <si>
    <t>0720247888000009811104</t>
  </si>
  <si>
    <t>0000000036146446</t>
  </si>
  <si>
    <t>ashleysabas96@gmail.com</t>
  </si>
  <si>
    <t>Villa Paéz</t>
  </si>
  <si>
    <t>Dr. Eliseo Canton</t>
  </si>
  <si>
    <t>2024-07-16 14:18:48</t>
  </si>
  <si>
    <t>SAN PEDRO MARTIN</t>
  </si>
  <si>
    <t xml:space="preserve">SAN  </t>
  </si>
  <si>
    <t xml:space="preserve">PEDRO MARTIN </t>
  </si>
  <si>
    <t>0720247888000009794890</t>
  </si>
  <si>
    <t>0000000035369701</t>
  </si>
  <si>
    <t>CORDOBA  CAPITAL</t>
  </si>
  <si>
    <t>JOSE LUIS GAYLUSSAC</t>
  </si>
  <si>
    <t>2024-07-05 17:15:32</t>
  </si>
  <si>
    <t>2024-07-16 12:42:11</t>
  </si>
  <si>
    <t>SANCHEZ</t>
  </si>
  <si>
    <t>JESICA ANABEL</t>
  </si>
  <si>
    <t>0720247888000009533286</t>
  </si>
  <si>
    <t>0000000014655617</t>
  </si>
  <si>
    <t>JESI@GMAIL.COM</t>
  </si>
  <si>
    <t>CORONEL OLMEDO</t>
  </si>
  <si>
    <t>RAFAEL HORTIGUERA</t>
  </si>
  <si>
    <t>0953328</t>
  </si>
  <si>
    <t>2024-09-20 16:42:31</t>
  </si>
  <si>
    <t>SILVA</t>
  </si>
  <si>
    <t>PAULA VERONICA</t>
  </si>
  <si>
    <t>0720247888000009117486</t>
  </si>
  <si>
    <t>0000000034792008</t>
  </si>
  <si>
    <t>paujufape@gmail.com</t>
  </si>
  <si>
    <t>RIO CEBALLOS</t>
  </si>
  <si>
    <t>EL CARACOL</t>
  </si>
  <si>
    <t>SARMIENTO</t>
  </si>
  <si>
    <t>0911748</t>
  </si>
  <si>
    <t>Divorciado</t>
  </si>
  <si>
    <t>2026-01-21 19:06:02</t>
  </si>
  <si>
    <t>SOPRANZI</t>
  </si>
  <si>
    <t>VALENTINA</t>
  </si>
  <si>
    <t>0720247888000009676422</t>
  </si>
  <si>
    <t>0000000036146608</t>
  </si>
  <si>
    <t>valesopranzi@gmail.com</t>
  </si>
  <si>
    <t>Av. Emilio Olmos</t>
  </si>
  <si>
    <t>0967642</t>
  </si>
  <si>
    <t>2025-10-28 13:16:43</t>
  </si>
  <si>
    <t>SOSA</t>
  </si>
  <si>
    <t>JULIETA VALENTINA</t>
  </si>
  <si>
    <t>0720247888000009401204</t>
  </si>
  <si>
    <t>0000000035369775</t>
  </si>
  <si>
    <t>juli.sosa.2000@gmail.com</t>
  </si>
  <si>
    <t>URCA</t>
  </si>
  <si>
    <t>MARIANO LARRA</t>
  </si>
  <si>
    <t>0940120</t>
  </si>
  <si>
    <t>2024-07-25 18:07:36</t>
  </si>
  <si>
    <t>SOSA ABRILE</t>
  </si>
  <si>
    <t>LEANDRO ANDRES</t>
  </si>
  <si>
    <t>0720247888000009283822</t>
  </si>
  <si>
    <t>0000000024123210</t>
  </si>
  <si>
    <t>SIN INFORMACION</t>
  </si>
  <si>
    <t>TUCUMAN</t>
  </si>
  <si>
    <t>2025-07-14 16:52:37</t>
  </si>
  <si>
    <t>TORRES JUAN MANUEL</t>
  </si>
  <si>
    <t xml:space="preserve">TORRES  </t>
  </si>
  <si>
    <t xml:space="preserve">JUAN MANUEL </t>
  </si>
  <si>
    <t>0720247888000009173404</t>
  </si>
  <si>
    <t>0000000031412730</t>
  </si>
  <si>
    <t>jmtorres12@hotmail.com</t>
  </si>
  <si>
    <t>Residencial San Carlos</t>
  </si>
  <si>
    <t>Caminiaga</t>
  </si>
  <si>
    <t>0917340</t>
  </si>
  <si>
    <t>2024-07-03 18:46:00</t>
  </si>
  <si>
    <t>TORRES KOSIBA</t>
  </si>
  <si>
    <t>SOFIA CARLA</t>
  </si>
  <si>
    <t>0720247888000011445522</t>
  </si>
  <si>
    <t>0000000048456575</t>
  </si>
  <si>
    <t>sofiatorreskosiba@gmail.com</t>
  </si>
  <si>
    <t>JUAN RODRIGUEZ</t>
  </si>
  <si>
    <t>2026-05-13 15:17:20</t>
  </si>
  <si>
    <t>2026-05-29 15:47:10</t>
  </si>
  <si>
    <t>TORRES RAGOT</t>
  </si>
  <si>
    <t>GASTON</t>
  </si>
  <si>
    <t>0720247888000011218418</t>
  </si>
  <si>
    <t>0000000047439342</t>
  </si>
  <si>
    <t>torresgaston@gmail.com</t>
  </si>
  <si>
    <t>LAS PALMAS</t>
  </si>
  <si>
    <t>YAVI</t>
  </si>
  <si>
    <t>2026-01-21 19:01:16</t>
  </si>
  <si>
    <t>2026-02-26 18:29:12</t>
  </si>
  <si>
    <t>TRAPIELLA</t>
  </si>
  <si>
    <t>SILVINA ALICE</t>
  </si>
  <si>
    <t>0720247888000009436554</t>
  </si>
  <si>
    <t>0000000031412383</t>
  </si>
  <si>
    <t>strapiella@hotmail.com</t>
  </si>
  <si>
    <t>QUINTAS DE ARGUELLO</t>
  </si>
  <si>
    <t>DIVINO MAESTRO</t>
  </si>
  <si>
    <t>0943655</t>
  </si>
  <si>
    <t>2025-01-27 13:39:30</t>
  </si>
  <si>
    <t>VARALDO</t>
  </si>
  <si>
    <t>MARIA EUGENIA</t>
  </si>
  <si>
    <t>0720247888000010971536</t>
  </si>
  <si>
    <t>0000000045945028</t>
  </si>
  <si>
    <t>VARALDOMJ@GMAIL.COM</t>
  </si>
  <si>
    <t>BV. LOS GRANADEROS</t>
  </si>
  <si>
    <t>2025-09-23 13:21:22</t>
  </si>
  <si>
    <t>2025-10-28 12:04:38</t>
  </si>
  <si>
    <t>VILLA TATIANA</t>
  </si>
  <si>
    <t xml:space="preserve">VILLA  </t>
  </si>
  <si>
    <t xml:space="preserve">TATIANA </t>
  </si>
  <si>
    <t>0720247888000009833072</t>
  </si>
  <si>
    <t>0000000037791684</t>
  </si>
  <si>
    <t>tatianavilla2293@gmail.com</t>
  </si>
  <si>
    <t>ALEJANDRO CARBO</t>
  </si>
  <si>
    <t>TOTORAL</t>
  </si>
  <si>
    <t>2024-07-15 16:44:08</t>
  </si>
  <si>
    <t>YAMAGUSUKU</t>
  </si>
  <si>
    <t>RAÚL KAZUO</t>
  </si>
  <si>
    <t>0720247888000010247518</t>
  </si>
  <si>
    <t>0000000041251907</t>
  </si>
  <si>
    <t>KAZUYAMAGUSUKU@gmail.com</t>
  </si>
  <si>
    <t>DR. PEDRO CHUTRO</t>
  </si>
  <si>
    <t>2024-11-21 12:39:14</t>
  </si>
  <si>
    <t>córdoba</t>
  </si>
  <si>
    <t>2024-12-23 19:32:06</t>
  </si>
  <si>
    <t>ZANETTI</t>
  </si>
  <si>
    <t>GENARO</t>
  </si>
  <si>
    <t>0720247888000010596672</t>
  </si>
  <si>
    <t>0000000043694667</t>
  </si>
  <si>
    <t>genarozanetti@gmail.com</t>
  </si>
  <si>
    <t>RIVERA INDARTE</t>
  </si>
  <si>
    <t>LOS REARTES</t>
  </si>
  <si>
    <t>2025-04-25 15:21:19</t>
  </si>
  <si>
    <t>2026-01-21 19:07:17</t>
  </si>
  <si>
    <t>ZARATE</t>
  </si>
  <si>
    <t>GUSTAVO FABIAN</t>
  </si>
  <si>
    <t>0720247888000010409118</t>
  </si>
  <si>
    <t>0000000042355539</t>
  </si>
  <si>
    <t>ZARATE@GMAIL.COM</t>
  </si>
  <si>
    <t>PJE. LAPRIDA</t>
  </si>
  <si>
    <t>2025-01-27 14:02:42</t>
  </si>
  <si>
    <t>2025-02-21 14:22:52</t>
  </si>
  <si>
    <t>TORRES KOSIBA SOFIA CLARA</t>
  </si>
  <si>
    <t>VILLA ALLENDE</t>
  </si>
  <si>
    <t>TERCERO ARRIBA</t>
  </si>
  <si>
    <t>TANCACHA</t>
  </si>
  <si>
    <t>HECTOR 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</si>
</sst>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14"/>
      <name val="Courier New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4"/>
  <sheetViews>
    <sheetView tabSelected="1" topLeftCell="Q1" workbookViewId="0">
      <selection activeCell="S24" sqref="S24"/>
    </sheetView>
  </sheetViews>
  <sheetFormatPr baseColWidth="10" defaultColWidth="8.83203125" defaultRowHeight="15" x14ac:dyDescent="0.2"/>
  <cols>
    <col min="2" max="2" width="40" bestFit="1" customWidth="1"/>
    <col min="3" max="3" width="40" customWidth="1"/>
    <col min="4" max="4" width="18.5" customWidth="1"/>
    <col min="5" max="5" width="15.83203125" bestFit="1" customWidth="1"/>
    <col min="6" max="6" width="18.6640625" bestFit="1" customWidth="1"/>
    <col min="7" max="7" width="36.5" bestFit="1" customWidth="1"/>
    <col min="8" max="8" width="14.5" bestFit="1" customWidth="1"/>
    <col min="9" max="9" width="31" bestFit="1" customWidth="1"/>
    <col min="10" max="10" width="20" bestFit="1" customWidth="1"/>
    <col min="11" max="11" width="14.5" bestFit="1" customWidth="1"/>
    <col min="12" max="12" width="36.5" bestFit="1" customWidth="1"/>
    <col min="13" max="13" width="11" bestFit="1" customWidth="1"/>
    <col min="14" max="14" width="11.33203125" bestFit="1" customWidth="1"/>
    <col min="15" max="15" width="36.5" customWidth="1"/>
    <col min="16" max="16" width="13.5" bestFit="1" customWidth="1"/>
    <col min="17" max="17" width="30.5" bestFit="1" customWidth="1"/>
    <col min="18" max="19" width="34.1640625" bestFit="1" customWidth="1"/>
    <col min="20" max="20" width="11.6640625" bestFit="1" customWidth="1"/>
    <col min="21" max="21" width="5.83203125" bestFit="1" customWidth="1"/>
    <col min="22" max="22" width="8.1640625" bestFit="1" customWidth="1"/>
    <col min="23" max="23" width="5.83203125" bestFit="1" customWidth="1"/>
    <col min="24" max="24" width="9.33203125" bestFit="1" customWidth="1"/>
    <col min="25" max="25" width="18.6640625" bestFit="1" customWidth="1"/>
    <col min="26" max="26" width="16.5" bestFit="1" customWidth="1"/>
  </cols>
  <sheetData>
    <row r="1" spans="1:26" x14ac:dyDescent="0.2">
      <c r="B1" s="1" t="s">
        <v>0</v>
      </c>
      <c r="C1" s="1"/>
      <c r="D1" s="1"/>
      <c r="E1" s="1"/>
      <c r="F1" s="2" t="s">
        <v>20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B2" s="2" t="s">
        <v>21</v>
      </c>
      <c r="C2" s="2" t="s">
        <v>22</v>
      </c>
      <c r="D2" s="2" t="s">
        <v>23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2" t="s">
        <v>26</v>
      </c>
      <c r="N2" s="2" t="s">
        <v>25</v>
      </c>
      <c r="O2" s="2" t="s">
        <v>24</v>
      </c>
      <c r="P2" s="1" t="s">
        <v>9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  <c r="W2" s="1" t="s">
        <v>16</v>
      </c>
      <c r="X2" s="1" t="s">
        <v>17</v>
      </c>
      <c r="Y2" s="2" t="s">
        <v>27</v>
      </c>
      <c r="Z2" s="1" t="s">
        <v>18</v>
      </c>
    </row>
    <row r="3" spans="1:26" ht="19" x14ac:dyDescent="0.25">
      <c r="A3">
        <v>1</v>
      </c>
      <c r="B3" s="1" t="s">
        <v>28</v>
      </c>
      <c r="C3" s="1" t="s">
        <v>28</v>
      </c>
      <c r="D3" s="2" t="s">
        <v>1002</v>
      </c>
      <c r="E3" s="3">
        <f>IFERROR(INDEX(Hoja1!D:D,MATCH(F3,Hoja1!E:E,0)),"")</f>
        <v>23405189534</v>
      </c>
      <c r="F3" s="1">
        <v>40518953</v>
      </c>
      <c r="G3" s="1" t="s">
        <v>32</v>
      </c>
      <c r="H3" s="3" t="s">
        <v>112</v>
      </c>
      <c r="I3" s="3" t="s">
        <v>255</v>
      </c>
      <c r="J3" s="1" t="s">
        <v>256</v>
      </c>
      <c r="K3" s="3">
        <v>2429083</v>
      </c>
      <c r="L3" s="1" t="s">
        <v>258</v>
      </c>
      <c r="M3" s="1" t="s">
        <v>270</v>
      </c>
      <c r="N3" s="1">
        <v>5000</v>
      </c>
      <c r="O3" s="1" t="str">
        <f>IFERROR(INDEX(Hoja1!BD:BD,MATCH(F3,Hoja1!E:E,0)),"")</f>
        <v>CORDOBA</v>
      </c>
      <c r="P3" s="1" t="s">
        <v>259</v>
      </c>
      <c r="Q3" s="1" t="s">
        <v>260</v>
      </c>
      <c r="R3" s="1" t="s">
        <v>261</v>
      </c>
      <c r="S3" s="1" t="s">
        <v>262</v>
      </c>
      <c r="T3" s="1">
        <v>4045</v>
      </c>
      <c r="U3" s="1"/>
      <c r="V3" s="1"/>
      <c r="W3" s="1"/>
      <c r="X3" s="1"/>
      <c r="Y3" s="1">
        <v>1155000</v>
      </c>
      <c r="Z3" s="1">
        <v>5000</v>
      </c>
    </row>
    <row r="4" spans="1:26" ht="19" x14ac:dyDescent="0.25">
      <c r="A4">
        <v>2</v>
      </c>
      <c r="B4" s="1" t="s">
        <v>28</v>
      </c>
      <c r="C4" s="1" t="s">
        <v>28</v>
      </c>
      <c r="D4" s="2" t="s">
        <v>1002</v>
      </c>
      <c r="E4" s="3">
        <f>IFERROR(INDEX(Hoja1!D:D,MATCH(F4,Hoja1!E:E,0)),"")</f>
        <v>23350900144</v>
      </c>
      <c r="F4" s="1">
        <v>35090014</v>
      </c>
      <c r="G4" s="1" t="s">
        <v>33</v>
      </c>
      <c r="H4" s="3" t="s">
        <v>113</v>
      </c>
      <c r="I4" s="3" t="s">
        <v>278</v>
      </c>
      <c r="J4" s="1" t="s">
        <v>279</v>
      </c>
      <c r="K4" s="3">
        <v>3182163</v>
      </c>
      <c r="L4" s="1" t="s">
        <v>280</v>
      </c>
      <c r="M4" s="1" t="s">
        <v>270</v>
      </c>
      <c r="N4" s="1">
        <v>5000</v>
      </c>
      <c r="O4" s="1" t="s">
        <v>260</v>
      </c>
      <c r="P4" s="1" t="s">
        <v>259</v>
      </c>
      <c r="Q4" s="1" t="s">
        <v>260</v>
      </c>
      <c r="R4" s="1" t="s">
        <v>281</v>
      </c>
      <c r="S4" s="1" t="s">
        <v>282</v>
      </c>
      <c r="T4" s="1" t="s">
        <v>283</v>
      </c>
      <c r="U4" s="1"/>
      <c r="V4" s="1"/>
      <c r="W4" s="1"/>
      <c r="X4" s="1"/>
      <c r="Y4" s="1">
        <v>1380500</v>
      </c>
      <c r="Z4" s="1">
        <v>5000</v>
      </c>
    </row>
    <row r="5" spans="1:26" ht="19" x14ac:dyDescent="0.25">
      <c r="A5">
        <v>3</v>
      </c>
      <c r="B5" s="1" t="s">
        <v>29</v>
      </c>
      <c r="C5" s="1" t="s">
        <v>29</v>
      </c>
      <c r="D5" s="2" t="s">
        <v>1002</v>
      </c>
      <c r="E5" s="3">
        <f>IFERROR(INDEX(Hoja1!D:D,MATCH(F5,Hoja1!E:E,0)),"")</f>
        <v>20207855066</v>
      </c>
      <c r="F5" s="1">
        <v>20785506</v>
      </c>
      <c r="G5" s="1" t="s">
        <v>34</v>
      </c>
      <c r="H5" s="3" t="s">
        <v>114</v>
      </c>
      <c r="I5" s="3" t="s">
        <v>288</v>
      </c>
      <c r="J5" s="1" t="s">
        <v>289</v>
      </c>
      <c r="K5" s="3">
        <v>6214091</v>
      </c>
      <c r="L5" s="1" t="s">
        <v>290</v>
      </c>
      <c r="M5" s="1" t="s">
        <v>270</v>
      </c>
      <c r="N5" s="1">
        <v>5000</v>
      </c>
      <c r="O5" s="1" t="s">
        <v>260</v>
      </c>
      <c r="P5" s="1" t="s">
        <v>259</v>
      </c>
      <c r="Q5" s="1" t="s">
        <v>260</v>
      </c>
      <c r="R5" s="1" t="s">
        <v>291</v>
      </c>
      <c r="S5" s="1" t="s">
        <v>292</v>
      </c>
      <c r="T5" s="1">
        <v>1646</v>
      </c>
      <c r="U5" s="1"/>
      <c r="V5" s="1"/>
      <c r="W5" s="1"/>
      <c r="X5" s="1"/>
      <c r="Y5" s="1">
        <v>1380500</v>
      </c>
      <c r="Z5" s="1">
        <v>5000</v>
      </c>
    </row>
    <row r="6" spans="1:26" ht="19" x14ac:dyDescent="0.25">
      <c r="A6">
        <v>4</v>
      </c>
      <c r="B6" s="1" t="s">
        <v>28</v>
      </c>
      <c r="C6" s="1" t="s">
        <v>28</v>
      </c>
      <c r="D6" s="2" t="s">
        <v>1002</v>
      </c>
      <c r="E6" s="3">
        <f>IFERROR(INDEX(Hoja1!D:D,MATCH(F6,Hoja1!E:E,0)),"")</f>
        <v>27439285724</v>
      </c>
      <c r="F6" s="1">
        <v>43928572</v>
      </c>
      <c r="G6" s="1" t="s">
        <v>35</v>
      </c>
      <c r="H6" s="3" t="s">
        <v>115</v>
      </c>
      <c r="I6" s="3" t="s">
        <v>299</v>
      </c>
      <c r="J6" s="1" t="s">
        <v>300</v>
      </c>
      <c r="K6" s="3">
        <v>326081</v>
      </c>
      <c r="L6" s="1" t="s">
        <v>301</v>
      </c>
      <c r="M6" s="1" t="s">
        <v>270</v>
      </c>
      <c r="N6" s="1">
        <v>5000</v>
      </c>
      <c r="O6" s="1" t="s">
        <v>260</v>
      </c>
      <c r="P6" s="1" t="s">
        <v>259</v>
      </c>
      <c r="Q6" s="1" t="s">
        <v>259</v>
      </c>
      <c r="R6" s="1" t="s">
        <v>302</v>
      </c>
      <c r="S6" s="1" t="s">
        <v>303</v>
      </c>
      <c r="T6" s="1">
        <v>208</v>
      </c>
      <c r="U6" s="1"/>
      <c r="V6" s="1"/>
      <c r="W6" s="1"/>
      <c r="X6" s="1"/>
      <c r="Y6" s="1">
        <v>924000</v>
      </c>
      <c r="Z6" s="1">
        <v>5000</v>
      </c>
    </row>
    <row r="7" spans="1:26" ht="19" x14ac:dyDescent="0.25">
      <c r="A7">
        <v>5</v>
      </c>
      <c r="B7" s="1" t="s">
        <v>28</v>
      </c>
      <c r="C7" s="1" t="s">
        <v>28</v>
      </c>
      <c r="D7" s="2" t="s">
        <v>1002</v>
      </c>
      <c r="E7" s="3">
        <f>IFERROR(INDEX(Hoja1!D:D,MATCH(F7,Hoja1!E:E,0)),"")</f>
        <v>27170717983</v>
      </c>
      <c r="F7" s="1">
        <v>17071798</v>
      </c>
      <c r="G7" s="1" t="s">
        <v>36</v>
      </c>
      <c r="H7" s="3" t="s">
        <v>116</v>
      </c>
      <c r="I7" s="3" t="s">
        <v>308</v>
      </c>
      <c r="J7" s="1" t="s">
        <v>309</v>
      </c>
      <c r="K7" s="3">
        <v>6789000</v>
      </c>
      <c r="L7" s="1" t="s">
        <v>310</v>
      </c>
      <c r="M7" s="1" t="s">
        <v>270</v>
      </c>
      <c r="N7" s="1">
        <v>5000</v>
      </c>
      <c r="O7" s="1" t="s">
        <v>260</v>
      </c>
      <c r="P7" s="1" t="s">
        <v>259</v>
      </c>
      <c r="Q7" s="1" t="s">
        <v>260</v>
      </c>
      <c r="R7" s="1" t="s">
        <v>311</v>
      </c>
      <c r="S7" s="1" t="s">
        <v>312</v>
      </c>
      <c r="T7" s="1">
        <v>808</v>
      </c>
      <c r="U7" s="1"/>
      <c r="V7" s="1"/>
      <c r="W7" s="1"/>
      <c r="X7" s="1"/>
      <c r="Y7" s="1">
        <v>693000</v>
      </c>
      <c r="Z7" s="1">
        <v>5000</v>
      </c>
    </row>
    <row r="8" spans="1:26" ht="19" x14ac:dyDescent="0.25">
      <c r="A8">
        <v>6</v>
      </c>
      <c r="B8" s="1" t="s">
        <v>28</v>
      </c>
      <c r="C8" s="1" t="s">
        <v>28</v>
      </c>
      <c r="D8" s="2" t="s">
        <v>1002</v>
      </c>
      <c r="E8" s="3">
        <f>IFERROR(INDEX(Hoja1!D:D,MATCH(F8,Hoja1!E:E,0)),"")</f>
        <v>27397365803</v>
      </c>
      <c r="F8" s="1">
        <v>39736580</v>
      </c>
      <c r="G8" s="1" t="s">
        <v>37</v>
      </c>
      <c r="H8" s="3" t="s">
        <v>117</v>
      </c>
      <c r="I8" s="3" t="s">
        <v>318</v>
      </c>
      <c r="J8" s="1" t="s">
        <v>319</v>
      </c>
      <c r="K8" s="3">
        <v>3536447</v>
      </c>
      <c r="L8" s="1" t="s">
        <v>320</v>
      </c>
      <c r="M8" s="1" t="s">
        <v>270</v>
      </c>
      <c r="N8" s="1">
        <v>5000</v>
      </c>
      <c r="O8" s="1" t="s">
        <v>260</v>
      </c>
      <c r="P8" s="1" t="s">
        <v>259</v>
      </c>
      <c r="Q8" s="1" t="s">
        <v>260</v>
      </c>
      <c r="R8" s="1" t="s">
        <v>321</v>
      </c>
      <c r="S8" s="1" t="s">
        <v>322</v>
      </c>
      <c r="T8" s="1">
        <v>436</v>
      </c>
      <c r="U8" s="1" t="s">
        <v>323</v>
      </c>
      <c r="V8" s="1">
        <v>436</v>
      </c>
      <c r="W8" s="1"/>
      <c r="X8" s="1"/>
      <c r="Y8" s="1">
        <v>1380500</v>
      </c>
      <c r="Z8" s="1">
        <v>5000</v>
      </c>
    </row>
    <row r="9" spans="1:26" ht="19" x14ac:dyDescent="0.25">
      <c r="A9">
        <v>7</v>
      </c>
      <c r="B9" s="1" t="s">
        <v>28</v>
      </c>
      <c r="C9" s="1" t="s">
        <v>28</v>
      </c>
      <c r="D9" s="2" t="s">
        <v>1002</v>
      </c>
      <c r="E9" s="3">
        <f>IFERROR(INDEX(Hoja1!D:D,MATCH(F9,Hoja1!E:E,0)),"")</f>
        <v>20427831664</v>
      </c>
      <c r="F9" s="1">
        <v>42783166</v>
      </c>
      <c r="G9" s="1" t="s">
        <v>38</v>
      </c>
      <c r="H9" s="3" t="s">
        <v>118</v>
      </c>
      <c r="I9" s="3" t="s">
        <v>328</v>
      </c>
      <c r="J9" s="1" t="s">
        <v>329</v>
      </c>
      <c r="K9" s="3">
        <v>7666822</v>
      </c>
      <c r="L9" s="1" t="s">
        <v>330</v>
      </c>
      <c r="M9" s="1" t="s">
        <v>270</v>
      </c>
      <c r="N9" s="1">
        <v>5000</v>
      </c>
      <c r="O9" s="1" t="s">
        <v>260</v>
      </c>
      <c r="P9" s="1" t="s">
        <v>331</v>
      </c>
      <c r="Q9" s="1" t="s">
        <v>332</v>
      </c>
      <c r="R9" s="1" t="s">
        <v>333</v>
      </c>
      <c r="S9" s="1" t="s">
        <v>334</v>
      </c>
      <c r="T9" s="1" t="s">
        <v>335</v>
      </c>
      <c r="U9" s="1"/>
      <c r="V9" s="1"/>
      <c r="W9" s="1">
        <v>3</v>
      </c>
      <c r="X9" s="1">
        <v>6</v>
      </c>
      <c r="Y9" s="1">
        <v>924000</v>
      </c>
      <c r="Z9" s="1">
        <v>5000</v>
      </c>
    </row>
    <row r="10" spans="1:26" ht="19" x14ac:dyDescent="0.25">
      <c r="A10">
        <v>8</v>
      </c>
      <c r="B10" s="1" t="s">
        <v>28</v>
      </c>
      <c r="C10" s="1" t="s">
        <v>28</v>
      </c>
      <c r="D10" s="2" t="s">
        <v>1002</v>
      </c>
      <c r="E10" s="3">
        <f>IFERROR(INDEX(Hoja1!D:D,MATCH(F10,Hoja1!E:E,0)),"")</f>
        <v>20167415645</v>
      </c>
      <c r="F10" s="1">
        <v>16741564</v>
      </c>
      <c r="G10" s="1" t="s">
        <v>39</v>
      </c>
      <c r="H10" s="3" t="s">
        <v>119</v>
      </c>
      <c r="I10" s="3" t="s">
        <v>340</v>
      </c>
      <c r="J10" s="1" t="s">
        <v>341</v>
      </c>
      <c r="K10" s="3">
        <v>5162811</v>
      </c>
      <c r="L10" s="1" t="s">
        <v>342</v>
      </c>
      <c r="M10" s="1" t="s">
        <v>270</v>
      </c>
      <c r="N10" s="1">
        <v>5000</v>
      </c>
      <c r="O10" s="1" t="s">
        <v>260</v>
      </c>
      <c r="P10" s="1" t="s">
        <v>259</v>
      </c>
      <c r="Q10" s="1" t="s">
        <v>260</v>
      </c>
      <c r="R10" s="1" t="s">
        <v>344</v>
      </c>
      <c r="S10" s="1" t="s">
        <v>345</v>
      </c>
      <c r="T10" s="1">
        <v>50</v>
      </c>
      <c r="U10" s="1">
        <v>9</v>
      </c>
      <c r="V10" s="1" t="s">
        <v>346</v>
      </c>
      <c r="W10" s="1"/>
      <c r="X10" s="1"/>
      <c r="Y10" s="1">
        <v>1380500</v>
      </c>
      <c r="Z10" s="1">
        <v>5000</v>
      </c>
    </row>
    <row r="11" spans="1:26" ht="19" x14ac:dyDescent="0.25">
      <c r="A11">
        <v>9</v>
      </c>
      <c r="B11" s="1" t="s">
        <v>28</v>
      </c>
      <c r="C11" s="1" t="s">
        <v>28</v>
      </c>
      <c r="D11" s="2" t="s">
        <v>1002</v>
      </c>
      <c r="E11" s="3">
        <f>IFERROR(INDEX(Hoja1!D:D,MATCH(F11,Hoja1!E:E,0)),"")</f>
        <v>20356746776</v>
      </c>
      <c r="F11" s="1">
        <v>35674677</v>
      </c>
      <c r="G11" s="1" t="s">
        <v>40</v>
      </c>
      <c r="H11" s="3" t="s">
        <v>120</v>
      </c>
      <c r="I11" s="3" t="s">
        <v>351</v>
      </c>
      <c r="J11" s="1" t="s">
        <v>352</v>
      </c>
      <c r="K11" s="3">
        <v>4204715</v>
      </c>
      <c r="L11" s="1" t="s">
        <v>353</v>
      </c>
      <c r="M11" s="1" t="s">
        <v>270</v>
      </c>
      <c r="N11" s="1">
        <v>5000</v>
      </c>
      <c r="O11" s="1" t="s">
        <v>260</v>
      </c>
      <c r="P11" s="1" t="s">
        <v>259</v>
      </c>
      <c r="Q11" s="1" t="s">
        <v>260</v>
      </c>
      <c r="R11" s="1" t="s">
        <v>302</v>
      </c>
      <c r="S11" s="1" t="s">
        <v>354</v>
      </c>
      <c r="T11" s="1">
        <v>445</v>
      </c>
      <c r="U11" s="1"/>
      <c r="V11" s="1"/>
      <c r="W11" s="1"/>
      <c r="X11" s="1"/>
      <c r="Y11" s="1">
        <v>1380500</v>
      </c>
      <c r="Z11" s="1">
        <v>5000</v>
      </c>
    </row>
    <row r="12" spans="1:26" ht="19" x14ac:dyDescent="0.25">
      <c r="A12">
        <v>10</v>
      </c>
      <c r="B12" s="1" t="s">
        <v>30</v>
      </c>
      <c r="C12" s="1" t="s">
        <v>30</v>
      </c>
      <c r="D12" s="2" t="s">
        <v>1002</v>
      </c>
      <c r="E12" s="3">
        <f>IFERROR(INDEX(Hoja1!D:D,MATCH(F12,Hoja1!E:E,0)),"")</f>
        <v>27438798957</v>
      </c>
      <c r="F12" s="1">
        <v>43879895</v>
      </c>
      <c r="G12" s="1" t="s">
        <v>41</v>
      </c>
      <c r="H12" s="3" t="s">
        <v>121</v>
      </c>
      <c r="I12" s="3" t="s">
        <v>359</v>
      </c>
      <c r="J12" s="1" t="s">
        <v>360</v>
      </c>
      <c r="K12" s="3">
        <v>566034</v>
      </c>
      <c r="L12" s="1" t="s">
        <v>361</v>
      </c>
      <c r="M12" s="1" t="s">
        <v>270</v>
      </c>
      <c r="N12" s="1">
        <v>5000</v>
      </c>
      <c r="O12" s="1" t="s">
        <v>260</v>
      </c>
      <c r="P12" s="1" t="s">
        <v>259</v>
      </c>
      <c r="Q12" s="1" t="s">
        <v>362</v>
      </c>
      <c r="R12" s="1" t="s">
        <v>344</v>
      </c>
      <c r="S12" s="1" t="s">
        <v>363</v>
      </c>
      <c r="T12" s="1">
        <v>1306</v>
      </c>
      <c r="U12" s="1">
        <v>2</v>
      </c>
      <c r="V12" s="1" t="s">
        <v>268</v>
      </c>
      <c r="W12" s="1"/>
      <c r="X12" s="1"/>
      <c r="Y12" s="1">
        <v>1380500</v>
      </c>
      <c r="Z12" s="1">
        <v>5000</v>
      </c>
    </row>
    <row r="13" spans="1:26" ht="19" x14ac:dyDescent="0.25">
      <c r="A13">
        <v>11</v>
      </c>
      <c r="B13" s="1" t="s">
        <v>28</v>
      </c>
      <c r="C13" s="1" t="s">
        <v>28</v>
      </c>
      <c r="D13" s="2" t="s">
        <v>1002</v>
      </c>
      <c r="E13" s="3">
        <f>IFERROR(INDEX(Hoja1!D:D,MATCH(F13,Hoja1!E:E,0)),"")</f>
        <v>27422178541</v>
      </c>
      <c r="F13" s="1">
        <v>42217854</v>
      </c>
      <c r="G13" s="1" t="s">
        <v>42</v>
      </c>
      <c r="H13" s="3" t="s">
        <v>122</v>
      </c>
      <c r="I13" s="3" t="s">
        <v>368</v>
      </c>
      <c r="J13" s="1" t="s">
        <v>369</v>
      </c>
      <c r="K13" s="3">
        <v>3516612117</v>
      </c>
      <c r="L13" s="1" t="s">
        <v>370</v>
      </c>
      <c r="M13" s="1" t="s">
        <v>270</v>
      </c>
      <c r="N13" s="1">
        <v>5000</v>
      </c>
      <c r="O13" s="1" t="s">
        <v>260</v>
      </c>
      <c r="P13" s="1" t="s">
        <v>259</v>
      </c>
      <c r="Q13" s="1" t="s">
        <v>260</v>
      </c>
      <c r="R13" s="1" t="s">
        <v>371</v>
      </c>
      <c r="S13" s="1" t="s">
        <v>372</v>
      </c>
      <c r="T13" s="1">
        <v>765</v>
      </c>
      <c r="U13" s="1">
        <v>7</v>
      </c>
      <c r="V13" s="1" t="s">
        <v>373</v>
      </c>
      <c r="W13" s="1"/>
      <c r="X13" s="1"/>
      <c r="Y13" s="1">
        <v>924000</v>
      </c>
      <c r="Z13" s="1">
        <v>5000</v>
      </c>
    </row>
    <row r="14" spans="1:26" ht="19" x14ac:dyDescent="0.25">
      <c r="A14">
        <v>12</v>
      </c>
      <c r="B14" s="1" t="s">
        <v>28</v>
      </c>
      <c r="C14" s="1" t="s">
        <v>28</v>
      </c>
      <c r="D14" s="2" t="s">
        <v>1002</v>
      </c>
      <c r="E14" s="3">
        <f>IFERROR(INDEX(Hoja1!D:D,MATCH(F14,Hoja1!E:E,0)),"")</f>
        <v>27260650853</v>
      </c>
      <c r="F14" s="1">
        <v>26065085</v>
      </c>
      <c r="G14" s="1" t="s">
        <v>43</v>
      </c>
      <c r="H14" s="3" t="s">
        <v>123</v>
      </c>
      <c r="I14" s="3" t="s">
        <v>377</v>
      </c>
      <c r="J14" s="1" t="s">
        <v>378</v>
      </c>
      <c r="K14" s="3">
        <v>2906813</v>
      </c>
      <c r="L14" s="1" t="s">
        <v>379</v>
      </c>
      <c r="M14" s="1" t="s">
        <v>270</v>
      </c>
      <c r="N14" s="1">
        <v>5000</v>
      </c>
      <c r="O14" s="1" t="s">
        <v>260</v>
      </c>
      <c r="P14" s="1" t="s">
        <v>259</v>
      </c>
      <c r="Q14" s="1" t="s">
        <v>260</v>
      </c>
      <c r="R14" s="1" t="s">
        <v>380</v>
      </c>
      <c r="S14" s="1" t="s">
        <v>381</v>
      </c>
      <c r="T14" s="1">
        <v>692</v>
      </c>
      <c r="U14" s="1"/>
      <c r="V14" s="1"/>
      <c r="W14" s="1"/>
      <c r="X14" s="1"/>
      <c r="Y14" s="1">
        <v>924000</v>
      </c>
      <c r="Z14" s="1">
        <v>5000</v>
      </c>
    </row>
    <row r="15" spans="1:26" ht="19" x14ac:dyDescent="0.25">
      <c r="A15">
        <v>13</v>
      </c>
      <c r="B15" s="1" t="s">
        <v>30</v>
      </c>
      <c r="C15" s="1" t="s">
        <v>30</v>
      </c>
      <c r="D15" s="2" t="s">
        <v>1002</v>
      </c>
      <c r="E15" s="3">
        <f>IFERROR(INDEX(Hoja1!D:D,MATCH(F15,Hoja1!E:E,0)),"")</f>
        <v>20352124851</v>
      </c>
      <c r="F15" s="1">
        <v>35212485</v>
      </c>
      <c r="G15" s="1" t="s">
        <v>44</v>
      </c>
      <c r="H15" s="3" t="s">
        <v>124</v>
      </c>
      <c r="I15" s="3" t="s">
        <v>386</v>
      </c>
      <c r="J15" s="1" t="s">
        <v>387</v>
      </c>
      <c r="K15" s="3">
        <v>5519079</v>
      </c>
      <c r="L15" s="1" t="s">
        <v>388</v>
      </c>
      <c r="M15" s="1" t="s">
        <v>270</v>
      </c>
      <c r="N15" s="1">
        <v>5000</v>
      </c>
      <c r="O15" s="1" t="s">
        <v>260</v>
      </c>
      <c r="P15" s="1" t="s">
        <v>259</v>
      </c>
      <c r="Q15" s="1" t="s">
        <v>260</v>
      </c>
      <c r="R15" s="1" t="s">
        <v>389</v>
      </c>
      <c r="S15" s="1" t="s">
        <v>390</v>
      </c>
      <c r="T15" s="1">
        <v>1745</v>
      </c>
      <c r="U15" s="1"/>
      <c r="V15" s="1"/>
      <c r="W15" s="1"/>
      <c r="X15" s="1"/>
      <c r="Y15" s="1">
        <v>1380500</v>
      </c>
      <c r="Z15" s="1">
        <v>5000</v>
      </c>
    </row>
    <row r="16" spans="1:26" ht="19" x14ac:dyDescent="0.25">
      <c r="A16">
        <v>14</v>
      </c>
      <c r="B16" s="1" t="s">
        <v>28</v>
      </c>
      <c r="C16" s="1" t="s">
        <v>28</v>
      </c>
      <c r="D16" s="2" t="s">
        <v>1002</v>
      </c>
      <c r="E16" s="3">
        <f>IFERROR(INDEX(Hoja1!D:D,MATCH(F16,Hoja1!E:E,0)),"")</f>
        <v>20215550088</v>
      </c>
      <c r="F16" s="1">
        <v>21555008</v>
      </c>
      <c r="G16" s="1" t="s">
        <v>45</v>
      </c>
      <c r="H16" s="3" t="s">
        <v>125</v>
      </c>
      <c r="I16" s="3" t="s">
        <v>397</v>
      </c>
      <c r="J16" s="1" t="s">
        <v>398</v>
      </c>
      <c r="K16" s="3">
        <v>3516839530</v>
      </c>
      <c r="L16" s="1" t="s">
        <v>400</v>
      </c>
      <c r="M16" s="1" t="s">
        <v>270</v>
      </c>
      <c r="N16" s="1">
        <v>0</v>
      </c>
      <c r="O16" s="1" t="s">
        <v>260</v>
      </c>
      <c r="P16" s="1" t="s">
        <v>331</v>
      </c>
      <c r="Q16" s="1" t="s">
        <v>402</v>
      </c>
      <c r="R16" s="1" t="s">
        <v>403</v>
      </c>
      <c r="S16" s="1" t="s">
        <v>404</v>
      </c>
      <c r="T16" s="1"/>
      <c r="U16" s="1"/>
      <c r="V16" s="1"/>
      <c r="W16" s="1">
        <v>81</v>
      </c>
      <c r="X16" s="1">
        <v>29</v>
      </c>
      <c r="Y16" s="1">
        <v>924000</v>
      </c>
      <c r="Z16" s="1"/>
    </row>
    <row r="17" spans="1:26" ht="19" x14ac:dyDescent="0.25">
      <c r="A17">
        <v>15</v>
      </c>
      <c r="B17" s="1" t="s">
        <v>28</v>
      </c>
      <c r="C17" s="1" t="s">
        <v>28</v>
      </c>
      <c r="D17" s="2" t="s">
        <v>1002</v>
      </c>
      <c r="E17" s="3">
        <f>IFERROR(INDEX(Hoja1!D:D,MATCH(F17,Hoja1!E:E,0)),"")</f>
        <v>23383378524</v>
      </c>
      <c r="F17" s="1">
        <v>38337852</v>
      </c>
      <c r="G17" s="1" t="s">
        <v>46</v>
      </c>
      <c r="H17" s="3" t="s">
        <v>126</v>
      </c>
      <c r="I17" s="3" t="s">
        <v>408</v>
      </c>
      <c r="J17" s="1" t="s">
        <v>409</v>
      </c>
      <c r="K17" s="3">
        <v>575372</v>
      </c>
      <c r="L17" s="1" t="s">
        <v>410</v>
      </c>
      <c r="M17" s="1" t="s">
        <v>270</v>
      </c>
      <c r="N17" s="1">
        <v>5000</v>
      </c>
      <c r="O17" s="1" t="s">
        <v>260</v>
      </c>
      <c r="P17" s="1" t="s">
        <v>259</v>
      </c>
      <c r="Q17" s="1" t="s">
        <v>260</v>
      </c>
      <c r="R17" s="1" t="s">
        <v>411</v>
      </c>
      <c r="S17" s="1" t="s">
        <v>412</v>
      </c>
      <c r="T17" s="1">
        <v>153</v>
      </c>
      <c r="U17" s="1"/>
      <c r="V17" s="1"/>
      <c r="W17" s="1"/>
      <c r="X17" s="1"/>
      <c r="Y17" s="1">
        <v>1611500</v>
      </c>
      <c r="Z17" s="1">
        <v>5000</v>
      </c>
    </row>
    <row r="18" spans="1:26" ht="19" x14ac:dyDescent="0.25">
      <c r="A18">
        <v>16</v>
      </c>
      <c r="B18" s="1" t="s">
        <v>29</v>
      </c>
      <c r="C18" s="1" t="s">
        <v>29</v>
      </c>
      <c r="D18" s="2" t="s">
        <v>1002</v>
      </c>
      <c r="E18" s="3">
        <f>IFERROR(INDEX(Hoja1!D:D,MATCH(F18,Hoja1!E:E,0)),"")</f>
        <v>27375920978</v>
      </c>
      <c r="F18" s="1">
        <v>37592097</v>
      </c>
      <c r="G18" s="1" t="s">
        <v>47</v>
      </c>
      <c r="H18" s="3" t="s">
        <v>127</v>
      </c>
      <c r="I18" s="3" t="s">
        <v>417</v>
      </c>
      <c r="J18" s="1" t="s">
        <v>418</v>
      </c>
      <c r="K18" s="3">
        <v>2035526</v>
      </c>
      <c r="L18" s="1" t="s">
        <v>419</v>
      </c>
      <c r="M18" s="1" t="s">
        <v>270</v>
      </c>
      <c r="N18" s="1">
        <v>5000</v>
      </c>
      <c r="O18" s="1" t="s">
        <v>260</v>
      </c>
      <c r="P18" s="1" t="s">
        <v>259</v>
      </c>
      <c r="Q18" s="1" t="s">
        <v>260</v>
      </c>
      <c r="R18" s="1" t="s">
        <v>302</v>
      </c>
      <c r="S18" s="1" t="s">
        <v>420</v>
      </c>
      <c r="T18" s="1">
        <v>540</v>
      </c>
      <c r="U18" s="1">
        <v>5</v>
      </c>
      <c r="V18" s="1" t="s">
        <v>373</v>
      </c>
      <c r="W18" s="1"/>
      <c r="X18" s="1"/>
      <c r="Y18" s="1">
        <v>1380500</v>
      </c>
      <c r="Z18" s="1">
        <v>5000</v>
      </c>
    </row>
    <row r="19" spans="1:26" ht="19" x14ac:dyDescent="0.25">
      <c r="A19">
        <v>17</v>
      </c>
      <c r="B19" s="1" t="s">
        <v>28</v>
      </c>
      <c r="C19" s="1" t="s">
        <v>28</v>
      </c>
      <c r="D19" s="2" t="s">
        <v>1002</v>
      </c>
      <c r="E19" s="3">
        <f>IFERROR(INDEX(Hoja1!D:D,MATCH(F19,Hoja1!E:E,0)),"")</f>
        <v>27304735517</v>
      </c>
      <c r="F19" s="1">
        <v>30473551</v>
      </c>
      <c r="G19" s="1" t="s">
        <v>48</v>
      </c>
      <c r="H19" s="3" t="s">
        <v>128</v>
      </c>
      <c r="I19" s="3" t="s">
        <v>425</v>
      </c>
      <c r="J19" s="1" t="s">
        <v>426</v>
      </c>
      <c r="K19" s="3">
        <v>7634064</v>
      </c>
      <c r="L19" s="1" t="s">
        <v>427</v>
      </c>
      <c r="M19" s="1" t="s">
        <v>270</v>
      </c>
      <c r="N19" s="1">
        <v>5000</v>
      </c>
      <c r="O19" s="1" t="s">
        <v>260</v>
      </c>
      <c r="P19" s="1" t="s">
        <v>259</v>
      </c>
      <c r="Q19" s="1" t="s">
        <v>260</v>
      </c>
      <c r="R19" s="1" t="s">
        <v>428</v>
      </c>
      <c r="S19" s="1" t="s">
        <v>429</v>
      </c>
      <c r="T19" s="1">
        <v>2229</v>
      </c>
      <c r="U19" s="1"/>
      <c r="V19" s="1"/>
      <c r="W19" s="1"/>
      <c r="X19" s="1"/>
      <c r="Y19" s="1">
        <v>1380500</v>
      </c>
      <c r="Z19" s="1">
        <v>5000</v>
      </c>
    </row>
    <row r="20" spans="1:26" ht="19" x14ac:dyDescent="0.25">
      <c r="A20">
        <v>18</v>
      </c>
      <c r="B20" s="1" t="s">
        <v>28</v>
      </c>
      <c r="C20" s="1" t="s">
        <v>28</v>
      </c>
      <c r="D20" s="2" t="s">
        <v>1002</v>
      </c>
      <c r="E20" s="3">
        <f>IFERROR(INDEX(Hoja1!D:D,MATCH(F20,Hoja1!E:E,0)),"")</f>
        <v>27292075214</v>
      </c>
      <c r="F20" s="1">
        <v>29207521</v>
      </c>
      <c r="G20" s="1" t="s">
        <v>49</v>
      </c>
      <c r="H20" s="3" t="s">
        <v>129</v>
      </c>
      <c r="I20" s="3" t="s">
        <v>433</v>
      </c>
      <c r="J20" s="1" t="s">
        <v>434</v>
      </c>
      <c r="K20" s="3">
        <v>2665098</v>
      </c>
      <c r="L20" s="1" t="s">
        <v>435</v>
      </c>
      <c r="M20" s="1" t="s">
        <v>270</v>
      </c>
      <c r="N20" s="1">
        <v>5002</v>
      </c>
      <c r="O20" s="1" t="s">
        <v>260</v>
      </c>
      <c r="P20" s="1" t="s">
        <v>259</v>
      </c>
      <c r="Q20" s="1" t="s">
        <v>260</v>
      </c>
      <c r="R20" s="1" t="s">
        <v>436</v>
      </c>
      <c r="S20" s="1" t="s">
        <v>437</v>
      </c>
      <c r="T20" s="1">
        <v>6053</v>
      </c>
      <c r="U20" s="1"/>
      <c r="V20" s="1"/>
      <c r="W20" s="1"/>
      <c r="X20" s="1"/>
      <c r="Y20" s="1">
        <v>924000</v>
      </c>
      <c r="Z20" s="1">
        <v>5002</v>
      </c>
    </row>
    <row r="21" spans="1:26" ht="19" x14ac:dyDescent="0.25">
      <c r="A21">
        <v>19</v>
      </c>
      <c r="B21" s="1" t="s">
        <v>28</v>
      </c>
      <c r="C21" s="1" t="s">
        <v>28</v>
      </c>
      <c r="D21" s="2" t="s">
        <v>1002</v>
      </c>
      <c r="E21" s="3">
        <f>IFERROR(INDEX(Hoja1!D:D,MATCH(F21,Hoja1!E:E,0)),"")</f>
        <v>27243688634</v>
      </c>
      <c r="F21" s="1">
        <v>24368863</v>
      </c>
      <c r="G21" s="1" t="s">
        <v>50</v>
      </c>
      <c r="H21" s="3" t="s">
        <v>130</v>
      </c>
      <c r="I21" s="3" t="s">
        <v>443</v>
      </c>
      <c r="J21" s="1" t="s">
        <v>444</v>
      </c>
      <c r="K21" s="3">
        <v>3512202294</v>
      </c>
      <c r="L21" s="1" t="s">
        <v>445</v>
      </c>
      <c r="M21" s="1" t="s">
        <v>270</v>
      </c>
      <c r="N21" s="1">
        <v>0</v>
      </c>
      <c r="O21" s="1" t="s">
        <v>260</v>
      </c>
      <c r="P21" s="1" t="s">
        <v>259</v>
      </c>
      <c r="Q21" s="1" t="s">
        <v>260</v>
      </c>
      <c r="R21" s="1" t="s">
        <v>446</v>
      </c>
      <c r="S21" s="1" t="s">
        <v>447</v>
      </c>
      <c r="T21" s="1">
        <v>2463</v>
      </c>
      <c r="U21" s="1"/>
      <c r="V21" s="1"/>
      <c r="W21" s="1"/>
      <c r="X21" s="1"/>
      <c r="Y21" s="1">
        <v>924000</v>
      </c>
      <c r="Z21" s="1"/>
    </row>
    <row r="22" spans="1:26" ht="19" x14ac:dyDescent="0.25">
      <c r="A22">
        <v>20</v>
      </c>
      <c r="B22" s="1" t="s">
        <v>28</v>
      </c>
      <c r="C22" s="1" t="s">
        <v>28</v>
      </c>
      <c r="D22" s="2" t="s">
        <v>1002</v>
      </c>
      <c r="E22" s="3">
        <f>IFERROR(INDEX(Hoja1!D:D,MATCH(F22,Hoja1!E:E,0)),"")</f>
        <v>20369839641</v>
      </c>
      <c r="F22" s="1">
        <v>36983964</v>
      </c>
      <c r="G22" s="1" t="s">
        <v>51</v>
      </c>
      <c r="H22" s="3" t="s">
        <v>131</v>
      </c>
      <c r="I22" s="3" t="s">
        <v>451</v>
      </c>
      <c r="J22" s="1" t="s">
        <v>452</v>
      </c>
      <c r="K22" s="3">
        <v>7659898</v>
      </c>
      <c r="L22" s="1" t="s">
        <v>453</v>
      </c>
      <c r="M22" s="1" t="s">
        <v>270</v>
      </c>
      <c r="N22" s="1">
        <v>5000</v>
      </c>
      <c r="O22" s="1" t="s">
        <v>260</v>
      </c>
      <c r="P22" s="1" t="s">
        <v>259</v>
      </c>
      <c r="Q22" s="1" t="s">
        <v>260</v>
      </c>
      <c r="R22" s="1" t="s">
        <v>454</v>
      </c>
      <c r="S22" s="1" t="s">
        <v>455</v>
      </c>
      <c r="T22" s="1">
        <v>3168</v>
      </c>
      <c r="U22" s="1"/>
      <c r="V22" s="1"/>
      <c r="W22" s="1"/>
      <c r="X22" s="1"/>
      <c r="Y22" s="1">
        <v>924000</v>
      </c>
      <c r="Z22" s="1">
        <v>5000</v>
      </c>
    </row>
    <row r="23" spans="1:26" ht="19" x14ac:dyDescent="0.25">
      <c r="A23">
        <v>21</v>
      </c>
      <c r="B23" s="1" t="s">
        <v>28</v>
      </c>
      <c r="C23" s="1" t="s">
        <v>28</v>
      </c>
      <c r="D23" s="2" t="s">
        <v>1002</v>
      </c>
      <c r="E23" s="3">
        <f>IFERROR(INDEX(Hoja1!D:D,MATCH(F23,Hoja1!E:E,0)),"")</f>
        <v>27391738837</v>
      </c>
      <c r="F23" s="1">
        <v>39173883</v>
      </c>
      <c r="G23" s="1" t="s">
        <v>52</v>
      </c>
      <c r="H23" s="3" t="s">
        <v>132</v>
      </c>
      <c r="I23" s="3" t="s">
        <v>459</v>
      </c>
      <c r="J23" s="1" t="s">
        <v>460</v>
      </c>
      <c r="K23" s="3">
        <v>3110789</v>
      </c>
      <c r="L23" s="1" t="s">
        <v>461</v>
      </c>
      <c r="M23" s="1" t="s">
        <v>270</v>
      </c>
      <c r="N23" s="1">
        <v>5000</v>
      </c>
      <c r="O23" s="1" t="s">
        <v>260</v>
      </c>
      <c r="P23" s="1" t="s">
        <v>259</v>
      </c>
      <c r="Q23" s="1" t="s">
        <v>260</v>
      </c>
      <c r="R23" s="1" t="s">
        <v>462</v>
      </c>
      <c r="S23" s="1" t="s">
        <v>463</v>
      </c>
      <c r="T23" s="1">
        <v>2115</v>
      </c>
      <c r="U23" s="1"/>
      <c r="V23" s="1"/>
      <c r="W23" s="1"/>
      <c r="X23" s="1"/>
      <c r="Y23" s="1">
        <v>1155000</v>
      </c>
      <c r="Z23" s="1">
        <v>5000</v>
      </c>
    </row>
    <row r="24" spans="1:26" ht="19" x14ac:dyDescent="0.25">
      <c r="A24">
        <v>22</v>
      </c>
      <c r="B24" s="1" t="s">
        <v>29</v>
      </c>
      <c r="C24" s="1" t="s">
        <v>29</v>
      </c>
      <c r="D24" s="2" t="s">
        <v>1002</v>
      </c>
      <c r="E24" s="3">
        <f>IFERROR(INDEX(Hoja1!D:D,MATCH(F24,Hoja1!E:E,0)),"")</f>
        <v>20284259395</v>
      </c>
      <c r="F24" s="1">
        <v>28425939</v>
      </c>
      <c r="G24" s="1" t="s">
        <v>53</v>
      </c>
      <c r="H24" s="3" t="s">
        <v>133</v>
      </c>
      <c r="I24" s="3" t="s">
        <v>468</v>
      </c>
      <c r="J24" s="1" t="s">
        <v>469</v>
      </c>
      <c r="K24" s="3">
        <v>2128269</v>
      </c>
      <c r="L24" s="1" t="s">
        <v>470</v>
      </c>
      <c r="M24" s="1" t="s">
        <v>270</v>
      </c>
      <c r="N24" s="1">
        <v>5000</v>
      </c>
      <c r="O24" s="1" t="s">
        <v>260</v>
      </c>
      <c r="P24" s="1" t="s">
        <v>259</v>
      </c>
      <c r="Q24" s="1" t="s">
        <v>260</v>
      </c>
      <c r="R24" s="1" t="s">
        <v>462</v>
      </c>
      <c r="S24" s="1" t="s">
        <v>471</v>
      </c>
      <c r="T24" s="1">
        <v>349</v>
      </c>
      <c r="U24" s="1">
        <v>3</v>
      </c>
      <c r="V24" s="1" t="s">
        <v>472</v>
      </c>
      <c r="W24" s="1"/>
      <c r="X24" s="1"/>
      <c r="Y24" s="1">
        <v>1380500</v>
      </c>
      <c r="Z24" s="1">
        <v>5000</v>
      </c>
    </row>
    <row r="25" spans="1:26" ht="19" x14ac:dyDescent="0.25">
      <c r="A25">
        <v>23</v>
      </c>
      <c r="B25" s="1" t="s">
        <v>28</v>
      </c>
      <c r="C25" s="1" t="s">
        <v>28</v>
      </c>
      <c r="D25" s="2" t="s">
        <v>1002</v>
      </c>
      <c r="E25" s="3">
        <f>IFERROR(INDEX(Hoja1!D:D,MATCH(F25,Hoja1!E:E,0)),"")</f>
        <v>20275431061</v>
      </c>
      <c r="F25" s="1">
        <v>27543106</v>
      </c>
      <c r="G25" s="1" t="s">
        <v>54</v>
      </c>
      <c r="H25" s="3" t="s">
        <v>134</v>
      </c>
      <c r="I25" s="3" t="s">
        <v>479</v>
      </c>
      <c r="J25" s="1" t="s">
        <v>480</v>
      </c>
      <c r="K25" s="3">
        <v>3512260565</v>
      </c>
      <c r="L25" s="1" t="s">
        <v>482</v>
      </c>
      <c r="M25" s="1" t="s">
        <v>270</v>
      </c>
      <c r="N25" s="1">
        <v>0</v>
      </c>
      <c r="O25" s="1" t="s">
        <v>260</v>
      </c>
      <c r="P25" s="1" t="s">
        <v>259</v>
      </c>
      <c r="Q25" s="1" t="s">
        <v>260</v>
      </c>
      <c r="R25" s="1" t="s">
        <v>311</v>
      </c>
      <c r="S25" s="1" t="s">
        <v>483</v>
      </c>
      <c r="T25" s="1">
        <v>1473</v>
      </c>
      <c r="U25" s="1"/>
      <c r="V25" s="1"/>
      <c r="W25" s="1"/>
      <c r="X25" s="1"/>
      <c r="Y25" s="1">
        <v>808500</v>
      </c>
      <c r="Z25" s="1"/>
    </row>
    <row r="26" spans="1:26" ht="19" x14ac:dyDescent="0.25">
      <c r="A26">
        <v>24</v>
      </c>
      <c r="B26" s="1" t="s">
        <v>28</v>
      </c>
      <c r="C26" s="1" t="s">
        <v>28</v>
      </c>
      <c r="D26" s="2" t="s">
        <v>1002</v>
      </c>
      <c r="E26" s="3">
        <f>IFERROR(INDEX(Hoja1!D:D,MATCH(F26,Hoja1!E:E,0)),"")</f>
        <v>20315272921</v>
      </c>
      <c r="F26" s="1">
        <v>31527292</v>
      </c>
      <c r="G26" s="1" t="s">
        <v>55</v>
      </c>
      <c r="H26" s="3" t="s">
        <v>135</v>
      </c>
      <c r="I26" s="3" t="s">
        <v>488</v>
      </c>
      <c r="J26" s="1" t="s">
        <v>489</v>
      </c>
      <c r="K26" s="3">
        <v>6869526</v>
      </c>
      <c r="L26" s="1" t="s">
        <v>490</v>
      </c>
      <c r="M26" s="1" t="s">
        <v>270</v>
      </c>
      <c r="N26" s="1">
        <v>5000</v>
      </c>
      <c r="O26" s="1" t="s">
        <v>260</v>
      </c>
      <c r="P26" s="1" t="s">
        <v>259</v>
      </c>
      <c r="Q26" s="1" t="s">
        <v>491</v>
      </c>
      <c r="R26" s="1" t="s">
        <v>492</v>
      </c>
      <c r="S26" s="1" t="s">
        <v>493</v>
      </c>
      <c r="T26" s="1">
        <v>378</v>
      </c>
      <c r="U26" s="1"/>
      <c r="V26" s="1"/>
      <c r="W26" s="1"/>
      <c r="X26" s="1"/>
      <c r="Y26" s="1">
        <v>1380500</v>
      </c>
      <c r="Z26" s="1">
        <v>5000</v>
      </c>
    </row>
    <row r="27" spans="1:26" ht="19" x14ac:dyDescent="0.25">
      <c r="A27">
        <v>25</v>
      </c>
      <c r="B27" s="1" t="s">
        <v>29</v>
      </c>
      <c r="C27" s="1" t="s">
        <v>29</v>
      </c>
      <c r="D27" s="2" t="s">
        <v>1002</v>
      </c>
      <c r="E27" s="3">
        <f>IFERROR(INDEX(Hoja1!D:D,MATCH(F27,Hoja1!E:E,0)),"")</f>
        <v>27438798345</v>
      </c>
      <c r="F27" s="1">
        <v>43879834</v>
      </c>
      <c r="G27" s="1" t="s">
        <v>56</v>
      </c>
      <c r="H27" s="3" t="s">
        <v>136</v>
      </c>
      <c r="I27" s="3" t="s">
        <v>497</v>
      </c>
      <c r="J27" s="1" t="s">
        <v>498</v>
      </c>
      <c r="K27" s="3">
        <v>6371581</v>
      </c>
      <c r="L27" s="1" t="s">
        <v>499</v>
      </c>
      <c r="M27" s="1" t="s">
        <v>270</v>
      </c>
      <c r="N27" s="1">
        <v>5000</v>
      </c>
      <c r="O27" s="1" t="s">
        <v>260</v>
      </c>
      <c r="P27" s="1" t="s">
        <v>259</v>
      </c>
      <c r="Q27" s="1" t="s">
        <v>260</v>
      </c>
      <c r="R27" s="1" t="s">
        <v>500</v>
      </c>
      <c r="S27" s="1" t="s">
        <v>501</v>
      </c>
      <c r="T27" s="1">
        <v>230</v>
      </c>
      <c r="U27" s="1"/>
      <c r="V27" s="1"/>
      <c r="W27" s="1"/>
      <c r="X27" s="1"/>
      <c r="Y27" s="1">
        <v>1380500</v>
      </c>
      <c r="Z27" s="1">
        <v>5000</v>
      </c>
    </row>
    <row r="28" spans="1:26" ht="19" x14ac:dyDescent="0.25">
      <c r="A28">
        <v>26</v>
      </c>
      <c r="B28" s="1" t="s">
        <v>30</v>
      </c>
      <c r="C28" s="1" t="s">
        <v>30</v>
      </c>
      <c r="D28" s="2" t="s">
        <v>1002</v>
      </c>
      <c r="E28" s="3">
        <f>IFERROR(INDEX(Hoja1!D:D,MATCH(F28,Hoja1!E:E,0)),"")</f>
        <v>27468901965</v>
      </c>
      <c r="F28" s="1">
        <v>46890196</v>
      </c>
      <c r="G28" s="1" t="s">
        <v>57</v>
      </c>
      <c r="H28" s="3" t="s">
        <v>137</v>
      </c>
      <c r="I28" s="3" t="s">
        <v>507</v>
      </c>
      <c r="J28" s="1" t="s">
        <v>508</v>
      </c>
      <c r="K28" s="3">
        <v>3512224731</v>
      </c>
      <c r="L28" s="1" t="s">
        <v>509</v>
      </c>
      <c r="M28" s="1" t="s">
        <v>270</v>
      </c>
      <c r="N28" s="1">
        <v>0</v>
      </c>
      <c r="O28" s="1" t="s">
        <v>260</v>
      </c>
      <c r="P28" s="2" t="s">
        <v>331</v>
      </c>
      <c r="Q28" s="1" t="s">
        <v>510</v>
      </c>
      <c r="R28" s="1" t="s">
        <v>510</v>
      </c>
      <c r="S28" s="1" t="s">
        <v>511</v>
      </c>
      <c r="T28" s="1">
        <v>123</v>
      </c>
      <c r="U28" s="1"/>
      <c r="V28" s="1"/>
      <c r="W28" s="1"/>
      <c r="X28" s="1"/>
      <c r="Y28" s="1">
        <v>924000</v>
      </c>
      <c r="Z28" s="1"/>
    </row>
    <row r="29" spans="1:26" ht="19" x14ac:dyDescent="0.25">
      <c r="A29">
        <v>27</v>
      </c>
      <c r="B29" s="1" t="s">
        <v>29</v>
      </c>
      <c r="C29" s="1" t="s">
        <v>29</v>
      </c>
      <c r="D29" s="2" t="s">
        <v>1002</v>
      </c>
      <c r="E29" s="3">
        <f>IFERROR(INDEX(Hoja1!D:D,MATCH(F29,Hoja1!E:E,0)),"")</f>
        <v>27421595831</v>
      </c>
      <c r="F29" s="1">
        <v>42159583</v>
      </c>
      <c r="G29" s="1" t="s">
        <v>58</v>
      </c>
      <c r="H29" s="3" t="s">
        <v>138</v>
      </c>
      <c r="I29" s="3" t="s">
        <v>516</v>
      </c>
      <c r="J29" s="1" t="s">
        <v>517</v>
      </c>
      <c r="K29" s="3">
        <v>8150653</v>
      </c>
      <c r="L29" s="1" t="s">
        <v>518</v>
      </c>
      <c r="M29" s="1" t="s">
        <v>270</v>
      </c>
      <c r="N29" s="1">
        <v>5000</v>
      </c>
      <c r="O29" s="1" t="s">
        <v>260</v>
      </c>
      <c r="P29" s="1" t="s">
        <v>259</v>
      </c>
      <c r="Q29" s="1" t="s">
        <v>260</v>
      </c>
      <c r="R29" s="1" t="s">
        <v>519</v>
      </c>
      <c r="S29" s="1" t="s">
        <v>520</v>
      </c>
      <c r="T29" s="1">
        <v>687</v>
      </c>
      <c r="U29" s="1"/>
      <c r="V29" s="1"/>
      <c r="W29" s="1"/>
      <c r="X29" s="1"/>
      <c r="Y29" s="1">
        <v>1380500</v>
      </c>
      <c r="Z29" s="1">
        <v>5000</v>
      </c>
    </row>
    <row r="30" spans="1:26" ht="19" x14ac:dyDescent="0.25">
      <c r="A30">
        <v>28</v>
      </c>
      <c r="B30" s="1" t="s">
        <v>29</v>
      </c>
      <c r="C30" s="1" t="s">
        <v>29</v>
      </c>
      <c r="D30" s="2" t="s">
        <v>1002</v>
      </c>
      <c r="E30" s="3">
        <f>IFERROR(INDEX(Hoja1!D:D,MATCH(F30,Hoja1!E:E,0)),"")</f>
        <v>27404006865</v>
      </c>
      <c r="F30" s="1">
        <v>40400686</v>
      </c>
      <c r="G30" s="1" t="s">
        <v>59</v>
      </c>
      <c r="H30" s="3" t="s">
        <v>139</v>
      </c>
      <c r="I30" s="3" t="s">
        <v>524</v>
      </c>
      <c r="J30" s="1" t="s">
        <v>525</v>
      </c>
      <c r="K30" s="3">
        <v>6149267</v>
      </c>
      <c r="L30" s="1" t="s">
        <v>526</v>
      </c>
      <c r="M30" s="1" t="s">
        <v>270</v>
      </c>
      <c r="N30" s="1">
        <v>5000</v>
      </c>
      <c r="O30" s="1" t="s">
        <v>260</v>
      </c>
      <c r="P30" s="1" t="s">
        <v>259</v>
      </c>
      <c r="Q30" s="1" t="s">
        <v>260</v>
      </c>
      <c r="R30" s="1" t="s">
        <v>527</v>
      </c>
      <c r="S30" s="1" t="s">
        <v>528</v>
      </c>
      <c r="T30" s="1" t="s">
        <v>529</v>
      </c>
      <c r="U30" s="1"/>
      <c r="V30" s="1"/>
      <c r="W30" s="1">
        <v>13</v>
      </c>
      <c r="X30" s="1">
        <v>45</v>
      </c>
      <c r="Y30" s="1">
        <v>1039500</v>
      </c>
      <c r="Z30" s="1">
        <v>5000</v>
      </c>
    </row>
    <row r="31" spans="1:26" ht="19" x14ac:dyDescent="0.25">
      <c r="A31">
        <v>29</v>
      </c>
      <c r="B31" s="1" t="s">
        <v>30</v>
      </c>
      <c r="C31" s="1" t="s">
        <v>30</v>
      </c>
      <c r="D31" s="2" t="s">
        <v>1002</v>
      </c>
      <c r="E31" s="3">
        <f>IFERROR(INDEX(Hoja1!D:D,MATCH(F31,Hoja1!E:E,0)),"")</f>
        <v>20355720439</v>
      </c>
      <c r="F31" s="1">
        <v>35572043</v>
      </c>
      <c r="G31" s="1" t="s">
        <v>60</v>
      </c>
      <c r="H31" s="3" t="s">
        <v>140</v>
      </c>
      <c r="I31" s="3" t="s">
        <v>535</v>
      </c>
      <c r="J31" s="1" t="s">
        <v>536</v>
      </c>
      <c r="K31" s="3">
        <v>3512583009</v>
      </c>
      <c r="L31" s="1" t="s">
        <v>537</v>
      </c>
      <c r="M31" s="1" t="s">
        <v>270</v>
      </c>
      <c r="N31" s="1">
        <v>0</v>
      </c>
      <c r="O31" s="1" t="s">
        <v>260</v>
      </c>
      <c r="P31" s="1" t="s">
        <v>259</v>
      </c>
      <c r="Q31" s="1" t="s">
        <v>260</v>
      </c>
      <c r="R31" s="1" t="s">
        <v>446</v>
      </c>
      <c r="S31" s="1" t="s">
        <v>372</v>
      </c>
      <c r="T31" s="1">
        <v>2726</v>
      </c>
      <c r="U31" s="1"/>
      <c r="V31" s="1"/>
      <c r="W31" s="1"/>
      <c r="X31" s="1"/>
      <c r="Y31" s="1">
        <v>1039500</v>
      </c>
      <c r="Z31" s="1"/>
    </row>
    <row r="32" spans="1:26" ht="19" x14ac:dyDescent="0.25">
      <c r="A32">
        <v>30</v>
      </c>
      <c r="B32" s="1" t="s">
        <v>30</v>
      </c>
      <c r="C32" s="1" t="s">
        <v>30</v>
      </c>
      <c r="D32" s="2" t="s">
        <v>1002</v>
      </c>
      <c r="E32" s="3">
        <f>IFERROR(INDEX(Hoja1!D:D,MATCH(F32,Hoja1!E:E,0)),"")</f>
        <v>27259398512</v>
      </c>
      <c r="F32" s="1">
        <v>25939851</v>
      </c>
      <c r="G32" s="1" t="s">
        <v>61</v>
      </c>
      <c r="H32" s="3" t="s">
        <v>141</v>
      </c>
      <c r="I32" s="3" t="s">
        <v>542</v>
      </c>
      <c r="J32" s="1" t="s">
        <v>543</v>
      </c>
      <c r="K32" s="3">
        <v>3516504489</v>
      </c>
      <c r="L32" s="1" t="s">
        <v>544</v>
      </c>
      <c r="M32" s="1" t="s">
        <v>270</v>
      </c>
      <c r="N32" s="1">
        <v>0</v>
      </c>
      <c r="O32" s="1" t="s">
        <v>260</v>
      </c>
      <c r="P32" s="1" t="s">
        <v>259</v>
      </c>
      <c r="Q32" s="1" t="s">
        <v>260</v>
      </c>
      <c r="R32" s="1" t="s">
        <v>545</v>
      </c>
      <c r="S32" s="1" t="s">
        <v>546</v>
      </c>
      <c r="T32" s="1">
        <v>292</v>
      </c>
      <c r="U32" s="1"/>
      <c r="V32" s="1"/>
      <c r="W32" s="1"/>
      <c r="X32" s="1"/>
      <c r="Y32" s="1">
        <v>1039500</v>
      </c>
      <c r="Z32" s="1"/>
    </row>
    <row r="33" spans="1:26" ht="19" x14ac:dyDescent="0.25">
      <c r="A33">
        <v>31</v>
      </c>
      <c r="B33" s="1" t="s">
        <v>28</v>
      </c>
      <c r="C33" s="1" t="s">
        <v>28</v>
      </c>
      <c r="D33" s="2" t="s">
        <v>1002</v>
      </c>
      <c r="E33" s="3">
        <f>IFERROR(INDEX(Hoja1!D:D,MATCH(F33,Hoja1!E:E,0)),"")</f>
        <v>20336681775</v>
      </c>
      <c r="F33" s="1">
        <v>33668177</v>
      </c>
      <c r="G33" s="1" t="s">
        <v>62</v>
      </c>
      <c r="H33" s="3" t="s">
        <v>142</v>
      </c>
      <c r="I33" s="3" t="s">
        <v>552</v>
      </c>
      <c r="J33" s="1" t="s">
        <v>553</v>
      </c>
      <c r="K33" s="3">
        <v>3513261415</v>
      </c>
      <c r="L33" s="1">
        <v>0</v>
      </c>
      <c r="M33" s="1" t="s">
        <v>270</v>
      </c>
      <c r="N33" s="1">
        <v>0</v>
      </c>
      <c r="O33" s="1" t="s">
        <v>260</v>
      </c>
      <c r="P33" s="1" t="s">
        <v>259</v>
      </c>
      <c r="Q33" s="1" t="s">
        <v>260</v>
      </c>
      <c r="R33" s="1" t="s">
        <v>554</v>
      </c>
      <c r="S33" s="1" t="s">
        <v>321</v>
      </c>
      <c r="T33" s="1">
        <v>263</v>
      </c>
      <c r="U33" s="1" t="s">
        <v>555</v>
      </c>
      <c r="V33" s="1" t="s">
        <v>268</v>
      </c>
      <c r="W33" s="1"/>
      <c r="X33" s="1"/>
      <c r="Y33" s="1">
        <v>1380500</v>
      </c>
      <c r="Z33" s="1"/>
    </row>
    <row r="34" spans="1:26" ht="19" x14ac:dyDescent="0.25">
      <c r="A34">
        <v>32</v>
      </c>
      <c r="B34" s="1" t="s">
        <v>31</v>
      </c>
      <c r="C34" s="1" t="s">
        <v>31</v>
      </c>
      <c r="D34" s="2" t="s">
        <v>1002</v>
      </c>
      <c r="E34" s="3">
        <f>IFERROR(INDEX(Hoja1!D:D,MATCH(F34,Hoja1!E:E,0)),"")</f>
        <v>20266517018</v>
      </c>
      <c r="F34" s="1">
        <v>26651701</v>
      </c>
      <c r="G34" s="1" t="s">
        <v>63</v>
      </c>
      <c r="H34" s="3" t="s">
        <v>143</v>
      </c>
      <c r="I34" s="3" t="s">
        <v>560</v>
      </c>
      <c r="J34" s="1" t="s">
        <v>561</v>
      </c>
      <c r="K34" s="3">
        <v>3518042360</v>
      </c>
      <c r="L34" s="1" t="s">
        <v>562</v>
      </c>
      <c r="M34" s="1" t="s">
        <v>270</v>
      </c>
      <c r="N34" s="1">
        <v>0</v>
      </c>
      <c r="O34" s="1" t="s">
        <v>260</v>
      </c>
      <c r="P34" s="2" t="s">
        <v>331</v>
      </c>
      <c r="Q34" s="1" t="s">
        <v>563</v>
      </c>
      <c r="R34" s="1" t="s">
        <v>510</v>
      </c>
      <c r="S34" s="1" t="s">
        <v>564</v>
      </c>
      <c r="T34" s="1">
        <v>123</v>
      </c>
      <c r="U34" s="1"/>
      <c r="V34" s="1"/>
      <c r="W34" s="1"/>
      <c r="X34" s="1"/>
      <c r="Y34" s="1">
        <v>924000</v>
      </c>
      <c r="Z34" s="1"/>
    </row>
    <row r="35" spans="1:26" ht="19" x14ac:dyDescent="0.25">
      <c r="A35">
        <v>33</v>
      </c>
      <c r="B35" s="1" t="s">
        <v>29</v>
      </c>
      <c r="C35" s="1" t="s">
        <v>29</v>
      </c>
      <c r="D35" s="2" t="s">
        <v>1002</v>
      </c>
      <c r="E35" s="3">
        <f>IFERROR(INDEX(Hoja1!D:D,MATCH(F35,Hoja1!E:E,0)),"")</f>
        <v>20129965933</v>
      </c>
      <c r="F35" s="1">
        <v>12996593</v>
      </c>
      <c r="G35" s="1" t="s">
        <v>64</v>
      </c>
      <c r="H35" s="3" t="s">
        <v>144</v>
      </c>
      <c r="I35" s="3" t="s">
        <v>570</v>
      </c>
      <c r="J35" s="1" t="s">
        <v>571</v>
      </c>
      <c r="K35" s="3">
        <v>3513000344</v>
      </c>
      <c r="L35" s="1" t="s">
        <v>572</v>
      </c>
      <c r="M35" s="1" t="s">
        <v>270</v>
      </c>
      <c r="N35" s="1">
        <v>0</v>
      </c>
      <c r="O35" s="1" t="s">
        <v>260</v>
      </c>
      <c r="P35" s="1" t="s">
        <v>259</v>
      </c>
      <c r="Q35" s="1" t="s">
        <v>260</v>
      </c>
      <c r="R35" s="1" t="s">
        <v>573</v>
      </c>
      <c r="S35" s="1" t="s">
        <v>574</v>
      </c>
      <c r="T35" s="1">
        <v>1228</v>
      </c>
      <c r="U35" s="1"/>
      <c r="V35" s="1"/>
      <c r="W35" s="1"/>
      <c r="X35" s="1"/>
      <c r="Y35" s="1">
        <v>1155000</v>
      </c>
      <c r="Z35" s="1"/>
    </row>
    <row r="36" spans="1:26" ht="19" x14ac:dyDescent="0.25">
      <c r="A36">
        <v>34</v>
      </c>
      <c r="B36" s="1" t="s">
        <v>29</v>
      </c>
      <c r="C36" s="1" t="s">
        <v>29</v>
      </c>
      <c r="D36" s="2" t="s">
        <v>1002</v>
      </c>
      <c r="E36" s="3">
        <f>IFERROR(INDEX(Hoja1!D:D,MATCH(F36,Hoja1!E:E,0)),"")</f>
        <v>27361435406</v>
      </c>
      <c r="F36" s="1">
        <v>36143540</v>
      </c>
      <c r="G36" s="1" t="s">
        <v>65</v>
      </c>
      <c r="H36" s="3" t="s">
        <v>145</v>
      </c>
      <c r="I36" s="3" t="s">
        <v>579</v>
      </c>
      <c r="J36" s="1" t="s">
        <v>580</v>
      </c>
      <c r="K36" s="3">
        <v>3486911</v>
      </c>
      <c r="L36" s="1" t="s">
        <v>581</v>
      </c>
      <c r="M36" s="1" t="s">
        <v>270</v>
      </c>
      <c r="N36" s="1">
        <v>5014</v>
      </c>
      <c r="O36" s="1" t="s">
        <v>260</v>
      </c>
      <c r="P36" s="1" t="s">
        <v>259</v>
      </c>
      <c r="Q36" s="1" t="s">
        <v>260</v>
      </c>
      <c r="R36" s="1" t="s">
        <v>582</v>
      </c>
      <c r="S36" s="1" t="s">
        <v>583</v>
      </c>
      <c r="T36" s="1">
        <v>169</v>
      </c>
      <c r="U36" s="1"/>
      <c r="V36" s="1">
        <v>4</v>
      </c>
      <c r="W36" s="1"/>
      <c r="X36" s="1"/>
      <c r="Y36" s="1">
        <v>1039500</v>
      </c>
      <c r="Z36" s="1">
        <v>5014</v>
      </c>
    </row>
    <row r="37" spans="1:26" ht="19" x14ac:dyDescent="0.25">
      <c r="A37">
        <v>35</v>
      </c>
      <c r="B37" s="1" t="s">
        <v>29</v>
      </c>
      <c r="C37" s="1" t="s">
        <v>29</v>
      </c>
      <c r="D37" s="2" t="s">
        <v>1002</v>
      </c>
      <c r="E37" s="3">
        <f>IFERROR(INDEX(Hoja1!D:D,MATCH(F37,Hoja1!E:E,0)),"")</f>
        <v>27186076198</v>
      </c>
      <c r="F37" s="1">
        <v>18607619</v>
      </c>
      <c r="G37" s="1" t="s">
        <v>66</v>
      </c>
      <c r="H37" s="3" t="s">
        <v>146</v>
      </c>
      <c r="I37" s="3" t="s">
        <v>588</v>
      </c>
      <c r="J37" s="1" t="s">
        <v>589</v>
      </c>
      <c r="K37" s="3">
        <v>5779654</v>
      </c>
      <c r="L37" s="1" t="s">
        <v>590</v>
      </c>
      <c r="M37" s="1" t="s">
        <v>270</v>
      </c>
      <c r="N37" s="1">
        <v>5000</v>
      </c>
      <c r="O37" s="1" t="s">
        <v>260</v>
      </c>
      <c r="P37" s="1" t="s">
        <v>259</v>
      </c>
      <c r="Q37" s="1" t="s">
        <v>260</v>
      </c>
      <c r="R37" s="1" t="s">
        <v>591</v>
      </c>
      <c r="S37" s="1" t="s">
        <v>592</v>
      </c>
      <c r="T37" s="1">
        <v>1715</v>
      </c>
      <c r="U37" s="1"/>
      <c r="V37" s="1"/>
      <c r="W37" s="1"/>
      <c r="X37" s="1"/>
      <c r="Y37" s="1">
        <v>1380500</v>
      </c>
      <c r="Z37" s="1">
        <v>5000</v>
      </c>
    </row>
    <row r="38" spans="1:26" ht="19" x14ac:dyDescent="0.25">
      <c r="A38">
        <v>36</v>
      </c>
      <c r="B38" s="1" t="s">
        <v>28</v>
      </c>
      <c r="C38" s="1" t="s">
        <v>28</v>
      </c>
      <c r="D38" s="2" t="s">
        <v>1002</v>
      </c>
      <c r="E38" s="3">
        <f>IFERROR(INDEX(Hoja1!D:D,MATCH(F38,Hoja1!E:E,0)),"")</f>
        <v>20339407666</v>
      </c>
      <c r="F38" s="1">
        <v>33940766</v>
      </c>
      <c r="G38" s="1" t="s">
        <v>67</v>
      </c>
      <c r="H38" s="3" t="s">
        <v>147</v>
      </c>
      <c r="I38" s="3" t="s">
        <v>597</v>
      </c>
      <c r="J38" s="1" t="s">
        <v>598</v>
      </c>
      <c r="K38" s="3">
        <v>8015532</v>
      </c>
      <c r="L38" s="1" t="s">
        <v>599</v>
      </c>
      <c r="M38" s="1" t="s">
        <v>270</v>
      </c>
      <c r="N38" s="1">
        <v>5000</v>
      </c>
      <c r="O38" s="1" t="s">
        <v>260</v>
      </c>
      <c r="P38" s="1" t="s">
        <v>259</v>
      </c>
      <c r="Q38" s="1" t="s">
        <v>260</v>
      </c>
      <c r="R38" s="1" t="s">
        <v>600</v>
      </c>
      <c r="S38" s="1" t="s">
        <v>601</v>
      </c>
      <c r="T38" s="1">
        <v>5580</v>
      </c>
      <c r="U38" s="1"/>
      <c r="V38" s="1"/>
      <c r="W38" s="1"/>
      <c r="X38" s="1"/>
      <c r="Y38" s="1">
        <v>1380500</v>
      </c>
      <c r="Z38" s="1">
        <v>5000</v>
      </c>
    </row>
    <row r="39" spans="1:26" ht="19" x14ac:dyDescent="0.25">
      <c r="A39">
        <v>37</v>
      </c>
      <c r="B39" s="1" t="s">
        <v>28</v>
      </c>
      <c r="C39" s="1" t="s">
        <v>28</v>
      </c>
      <c r="D39" s="2" t="s">
        <v>1002</v>
      </c>
      <c r="E39" s="3">
        <f>IFERROR(INDEX(Hoja1!D:D,MATCH(F39,Hoja1!E:E,0)),"")</f>
        <v>27431886850</v>
      </c>
      <c r="F39" s="1">
        <v>43188685</v>
      </c>
      <c r="G39" s="1" t="s">
        <v>68</v>
      </c>
      <c r="H39" s="3" t="s">
        <v>148</v>
      </c>
      <c r="I39" s="3" t="s">
        <v>605</v>
      </c>
      <c r="J39" s="1" t="s">
        <v>606</v>
      </c>
      <c r="K39" s="3">
        <v>5417097</v>
      </c>
      <c r="L39" s="1" t="s">
        <v>607</v>
      </c>
      <c r="M39" s="1" t="s">
        <v>270</v>
      </c>
      <c r="N39" s="1">
        <v>5000</v>
      </c>
      <c r="O39" s="1" t="s">
        <v>260</v>
      </c>
      <c r="P39" s="1" t="s">
        <v>331</v>
      </c>
      <c r="Q39" s="1" t="s">
        <v>608</v>
      </c>
      <c r="R39" s="1" t="s">
        <v>609</v>
      </c>
      <c r="S39" s="1" t="s">
        <v>610</v>
      </c>
      <c r="T39" s="1">
        <v>71</v>
      </c>
      <c r="U39" s="1"/>
      <c r="V39" s="1"/>
      <c r="W39" s="1"/>
      <c r="X39" s="1"/>
      <c r="Y39" s="1">
        <v>1155000</v>
      </c>
      <c r="Z39" s="1">
        <v>5000</v>
      </c>
    </row>
    <row r="40" spans="1:26" ht="19" x14ac:dyDescent="0.25">
      <c r="A40">
        <v>38</v>
      </c>
      <c r="B40" s="1" t="s">
        <v>29</v>
      </c>
      <c r="C40" s="1" t="s">
        <v>29</v>
      </c>
      <c r="D40" s="2" t="s">
        <v>1002</v>
      </c>
      <c r="E40" s="3">
        <f>IFERROR(INDEX(Hoja1!D:D,MATCH(F40,Hoja1!E:E,0)),"")</f>
        <v>27396225153</v>
      </c>
      <c r="F40" s="1">
        <v>39622515</v>
      </c>
      <c r="G40" s="1" t="s">
        <v>69</v>
      </c>
      <c r="H40" s="3" t="s">
        <v>149</v>
      </c>
      <c r="I40" s="3" t="s">
        <v>614</v>
      </c>
      <c r="J40" s="1" t="s">
        <v>615</v>
      </c>
      <c r="K40" s="3">
        <v>3550023</v>
      </c>
      <c r="L40" s="1" t="s">
        <v>616</v>
      </c>
      <c r="M40" s="1" t="s">
        <v>270</v>
      </c>
      <c r="N40" s="1">
        <v>5000</v>
      </c>
      <c r="O40" s="1" t="s">
        <v>260</v>
      </c>
      <c r="P40" s="1" t="s">
        <v>259</v>
      </c>
      <c r="Q40" s="1" t="s">
        <v>260</v>
      </c>
      <c r="R40" s="1" t="s">
        <v>617</v>
      </c>
      <c r="S40" s="1" t="s">
        <v>618</v>
      </c>
      <c r="T40" s="1">
        <v>1616</v>
      </c>
      <c r="U40" s="1"/>
      <c r="V40" s="1"/>
      <c r="W40" s="1"/>
      <c r="X40" s="1"/>
      <c r="Y40" s="1">
        <v>1380500</v>
      </c>
      <c r="Z40" s="1">
        <v>5000</v>
      </c>
    </row>
    <row r="41" spans="1:26" ht="19" x14ac:dyDescent="0.25">
      <c r="A41">
        <v>39</v>
      </c>
      <c r="B41" s="1" t="s">
        <v>28</v>
      </c>
      <c r="C41" s="1" t="s">
        <v>28</v>
      </c>
      <c r="D41" s="2" t="s">
        <v>1002</v>
      </c>
      <c r="E41" s="3">
        <f>IFERROR(INDEX(Hoja1!D:D,MATCH(F41,Hoja1!E:E,0)),"")</f>
        <v>27320992902</v>
      </c>
      <c r="F41" s="1">
        <v>32099290</v>
      </c>
      <c r="G41" s="1" t="s">
        <v>70</v>
      </c>
      <c r="H41" s="3" t="s">
        <v>150</v>
      </c>
      <c r="I41" s="3" t="s">
        <v>623</v>
      </c>
      <c r="J41" s="1" t="s">
        <v>624</v>
      </c>
      <c r="K41" s="3">
        <v>3513060977</v>
      </c>
      <c r="L41" s="1" t="s">
        <v>625</v>
      </c>
      <c r="M41" s="1" t="s">
        <v>270</v>
      </c>
      <c r="N41" s="1">
        <v>5000</v>
      </c>
      <c r="O41" s="1" t="s">
        <v>260</v>
      </c>
      <c r="P41" s="1" t="s">
        <v>331</v>
      </c>
      <c r="Q41" s="1" t="s">
        <v>563</v>
      </c>
      <c r="R41" s="1" t="s">
        <v>626</v>
      </c>
      <c r="S41" s="1" t="s">
        <v>627</v>
      </c>
      <c r="T41" s="1">
        <v>645</v>
      </c>
      <c r="U41" s="1" t="s">
        <v>628</v>
      </c>
      <c r="V41" s="1">
        <v>1</v>
      </c>
      <c r="W41" s="1"/>
      <c r="X41" s="1"/>
      <c r="Y41" s="1">
        <v>1155000</v>
      </c>
      <c r="Z41" s="1">
        <v>5000</v>
      </c>
    </row>
    <row r="42" spans="1:26" ht="19" x14ac:dyDescent="0.25">
      <c r="A42">
        <v>40</v>
      </c>
      <c r="B42" s="1" t="s">
        <v>29</v>
      </c>
      <c r="C42" s="1" t="s">
        <v>29</v>
      </c>
      <c r="D42" s="2" t="s">
        <v>1002</v>
      </c>
      <c r="E42" s="3">
        <f>IFERROR(INDEX(Hoja1!D:D,MATCH(F42,Hoja1!E:E,0)),"")</f>
        <v>27264847120</v>
      </c>
      <c r="F42" s="1">
        <v>26484712</v>
      </c>
      <c r="G42" s="1" t="s">
        <v>71</v>
      </c>
      <c r="H42" s="3" t="s">
        <v>151</v>
      </c>
      <c r="I42" s="3" t="s">
        <v>633</v>
      </c>
      <c r="J42" s="1" t="s">
        <v>634</v>
      </c>
      <c r="K42" s="3">
        <v>5197366</v>
      </c>
      <c r="L42" s="1" t="s">
        <v>635</v>
      </c>
      <c r="M42" s="1" t="s">
        <v>270</v>
      </c>
      <c r="N42" s="1">
        <v>5000</v>
      </c>
      <c r="O42" s="1" t="s">
        <v>260</v>
      </c>
      <c r="P42" s="1" t="s">
        <v>259</v>
      </c>
      <c r="Q42" s="1" t="s">
        <v>260</v>
      </c>
      <c r="R42" s="1" t="s">
        <v>311</v>
      </c>
      <c r="S42" s="1" t="s">
        <v>483</v>
      </c>
      <c r="T42" s="1">
        <v>1550</v>
      </c>
      <c r="U42" s="1" t="s">
        <v>628</v>
      </c>
      <c r="V42" s="1"/>
      <c r="W42" s="1"/>
      <c r="X42" s="1"/>
      <c r="Y42" s="1">
        <v>1380500</v>
      </c>
      <c r="Z42" s="1">
        <v>5000</v>
      </c>
    </row>
    <row r="43" spans="1:26" ht="19" x14ac:dyDescent="0.25">
      <c r="A43">
        <v>41</v>
      </c>
      <c r="B43" s="1" t="s">
        <v>29</v>
      </c>
      <c r="C43" s="1" t="s">
        <v>29</v>
      </c>
      <c r="D43" s="2" t="s">
        <v>1002</v>
      </c>
      <c r="E43" s="3">
        <f>IFERROR(INDEX(Hoja1!D:D,MATCH(F43,Hoja1!E:E,0)),"")</f>
        <v>27355275685</v>
      </c>
      <c r="F43" s="1">
        <v>35527568</v>
      </c>
      <c r="G43" s="1" t="s">
        <v>72</v>
      </c>
      <c r="H43" s="3" t="s">
        <v>152</v>
      </c>
      <c r="I43" s="3" t="s">
        <v>639</v>
      </c>
      <c r="J43" s="1" t="s">
        <v>640</v>
      </c>
      <c r="K43" s="3">
        <v>7567499</v>
      </c>
      <c r="L43" s="1" t="s">
        <v>641</v>
      </c>
      <c r="M43" s="1" t="s">
        <v>270</v>
      </c>
      <c r="N43" s="1">
        <v>5000</v>
      </c>
      <c r="O43" s="1" t="s">
        <v>260</v>
      </c>
      <c r="P43" s="1" t="s">
        <v>259</v>
      </c>
      <c r="Q43" s="1" t="s">
        <v>260</v>
      </c>
      <c r="R43" s="1" t="s">
        <v>642</v>
      </c>
      <c r="S43" s="1" t="s">
        <v>643</v>
      </c>
      <c r="T43" s="1">
        <v>2996</v>
      </c>
      <c r="U43" s="1"/>
      <c r="V43" s="1"/>
      <c r="W43" s="1"/>
      <c r="X43" s="1"/>
      <c r="Y43" s="1">
        <v>1380500</v>
      </c>
      <c r="Z43" s="1">
        <v>5000</v>
      </c>
    </row>
    <row r="44" spans="1:26" ht="19" x14ac:dyDescent="0.25">
      <c r="A44">
        <v>42</v>
      </c>
      <c r="B44" s="1" t="s">
        <v>29</v>
      </c>
      <c r="C44" s="1" t="s">
        <v>29</v>
      </c>
      <c r="D44" s="2" t="s">
        <v>1002</v>
      </c>
      <c r="E44" s="3">
        <f>IFERROR(INDEX(Hoja1!D:D,MATCH(F44,Hoja1!E:E,0)),"")</f>
        <v>27404040680</v>
      </c>
      <c r="F44" s="1">
        <v>40404068</v>
      </c>
      <c r="G44" s="1" t="s">
        <v>73</v>
      </c>
      <c r="H44" s="3" t="s">
        <v>153</v>
      </c>
      <c r="I44" s="3" t="s">
        <v>648</v>
      </c>
      <c r="J44" s="1" t="s">
        <v>649</v>
      </c>
      <c r="K44" s="3">
        <v>3516578259</v>
      </c>
      <c r="L44" s="1" t="s">
        <v>650</v>
      </c>
      <c r="M44" s="1" t="s">
        <v>270</v>
      </c>
      <c r="N44" s="1">
        <v>5000</v>
      </c>
      <c r="O44" s="1" t="s">
        <v>260</v>
      </c>
      <c r="P44" s="1" t="s">
        <v>259</v>
      </c>
      <c r="Q44" s="1" t="s">
        <v>260</v>
      </c>
      <c r="R44" s="1" t="s">
        <v>651</v>
      </c>
      <c r="S44" s="1" t="s">
        <v>652</v>
      </c>
      <c r="T44" s="1">
        <v>472</v>
      </c>
      <c r="U44" s="1"/>
      <c r="V44" s="1"/>
      <c r="W44" s="1"/>
      <c r="X44" s="1"/>
      <c r="Y44" s="1">
        <v>1039500</v>
      </c>
      <c r="Z44" s="1">
        <v>5000</v>
      </c>
    </row>
    <row r="45" spans="1:26" ht="19" x14ac:dyDescent="0.25">
      <c r="A45">
        <v>43</v>
      </c>
      <c r="B45" s="1" t="s">
        <v>29</v>
      </c>
      <c r="C45" s="1" t="s">
        <v>29</v>
      </c>
      <c r="D45" s="2" t="s">
        <v>1002</v>
      </c>
      <c r="E45" s="3">
        <f>IFERROR(INDEX(Hoja1!D:D,MATCH(F45,Hoja1!E:E,0)),"")</f>
        <v>20222310394</v>
      </c>
      <c r="F45" s="1">
        <v>22231039</v>
      </c>
      <c r="G45" s="1" t="s">
        <v>74</v>
      </c>
      <c r="H45" s="3" t="s">
        <v>154</v>
      </c>
      <c r="I45" s="3" t="s">
        <v>657</v>
      </c>
      <c r="J45" s="1" t="s">
        <v>658</v>
      </c>
      <c r="K45" s="3">
        <v>588643</v>
      </c>
      <c r="L45" s="1" t="s">
        <v>659</v>
      </c>
      <c r="M45" s="1" t="s">
        <v>270</v>
      </c>
      <c r="N45" s="1">
        <v>5000</v>
      </c>
      <c r="O45" s="1" t="s">
        <v>260</v>
      </c>
      <c r="P45" s="1" t="s">
        <v>259</v>
      </c>
      <c r="Q45" s="1" t="s">
        <v>260</v>
      </c>
      <c r="R45" s="1" t="s">
        <v>660</v>
      </c>
      <c r="S45" s="1" t="s">
        <v>661</v>
      </c>
      <c r="T45" s="1">
        <v>2979</v>
      </c>
      <c r="U45" s="1"/>
      <c r="V45" s="1"/>
      <c r="W45" s="1"/>
      <c r="X45" s="1"/>
      <c r="Y45" s="1">
        <v>924000</v>
      </c>
      <c r="Z45" s="1">
        <v>5000</v>
      </c>
    </row>
    <row r="46" spans="1:26" ht="19" x14ac:dyDescent="0.25">
      <c r="A46">
        <v>44</v>
      </c>
      <c r="B46" s="1" t="s">
        <v>29</v>
      </c>
      <c r="C46" s="1" t="s">
        <v>29</v>
      </c>
      <c r="D46" s="2" t="s">
        <v>1002</v>
      </c>
      <c r="E46" s="3">
        <f>IFERROR(INDEX(Hoja1!D:D,MATCH(F46,Hoja1!E:E,0)),"")</f>
        <v>23361259599</v>
      </c>
      <c r="F46" s="1">
        <v>36125959</v>
      </c>
      <c r="G46" s="1" t="s">
        <v>75</v>
      </c>
      <c r="H46" s="3" t="s">
        <v>155</v>
      </c>
      <c r="I46" s="3" t="s">
        <v>665</v>
      </c>
      <c r="J46" s="1" t="s">
        <v>666</v>
      </c>
      <c r="K46" s="3">
        <v>2316727</v>
      </c>
      <c r="L46" s="1" t="s">
        <v>667</v>
      </c>
      <c r="M46" s="1" t="s">
        <v>270</v>
      </c>
      <c r="N46" s="1">
        <v>5000</v>
      </c>
      <c r="O46" s="1" t="s">
        <v>260</v>
      </c>
      <c r="P46" s="1" t="s">
        <v>259</v>
      </c>
      <c r="Q46" s="1" t="s">
        <v>260</v>
      </c>
      <c r="R46" s="1" t="s">
        <v>668</v>
      </c>
      <c r="S46" s="1" t="s">
        <v>669</v>
      </c>
      <c r="T46" s="1">
        <v>4811</v>
      </c>
      <c r="U46" s="1"/>
      <c r="V46" s="1"/>
      <c r="W46" s="1"/>
      <c r="X46" s="1"/>
      <c r="Y46" s="1">
        <v>1380500</v>
      </c>
      <c r="Z46" s="1">
        <v>5000</v>
      </c>
    </row>
    <row r="47" spans="1:26" ht="19" x14ac:dyDescent="0.25">
      <c r="A47">
        <v>45</v>
      </c>
      <c r="B47" s="1" t="s">
        <v>29</v>
      </c>
      <c r="C47" s="1" t="s">
        <v>29</v>
      </c>
      <c r="D47" s="2" t="s">
        <v>1002</v>
      </c>
      <c r="E47" s="3">
        <f>IFERROR(INDEX(Hoja1!D:D,MATCH(F47,Hoja1!E:E,0)),"")</f>
        <v>27355296844</v>
      </c>
      <c r="F47" s="1">
        <v>35529684</v>
      </c>
      <c r="G47" s="1" t="s">
        <v>76</v>
      </c>
      <c r="H47" s="3" t="s">
        <v>156</v>
      </c>
      <c r="I47" s="3" t="s">
        <v>674</v>
      </c>
      <c r="J47" s="1" t="s">
        <v>675</v>
      </c>
      <c r="K47" s="3">
        <v>5195778</v>
      </c>
      <c r="L47" s="1" t="s">
        <v>676</v>
      </c>
      <c r="M47" s="1" t="s">
        <v>270</v>
      </c>
      <c r="N47" s="1">
        <v>5000</v>
      </c>
      <c r="O47" s="1" t="s">
        <v>260</v>
      </c>
      <c r="P47" s="1" t="s">
        <v>259</v>
      </c>
      <c r="Q47" s="1" t="s">
        <v>260</v>
      </c>
      <c r="R47" s="1" t="s">
        <v>677</v>
      </c>
      <c r="S47" s="1" t="s">
        <v>678</v>
      </c>
      <c r="T47" s="1">
        <v>1552</v>
      </c>
      <c r="U47" s="1"/>
      <c r="V47" s="1"/>
      <c r="W47" s="1"/>
      <c r="X47" s="1"/>
      <c r="Y47" s="1">
        <v>1155000</v>
      </c>
      <c r="Z47" s="1">
        <v>5000</v>
      </c>
    </row>
    <row r="48" spans="1:26" ht="19" x14ac:dyDescent="0.25">
      <c r="A48">
        <v>46</v>
      </c>
      <c r="B48" s="1" t="s">
        <v>28</v>
      </c>
      <c r="C48" s="1" t="s">
        <v>28</v>
      </c>
      <c r="D48" s="2" t="s">
        <v>1002</v>
      </c>
      <c r="E48" s="3">
        <f>IFERROR(INDEX(Hoja1!D:D,MATCH(F48,Hoja1!E:E,0)),"")</f>
        <v>20139959915</v>
      </c>
      <c r="F48" s="1">
        <v>13995991</v>
      </c>
      <c r="G48" s="1" t="s">
        <v>77</v>
      </c>
      <c r="H48" s="3" t="s">
        <v>157</v>
      </c>
      <c r="I48" s="3" t="s">
        <v>683</v>
      </c>
      <c r="J48" s="1" t="s">
        <v>684</v>
      </c>
      <c r="K48" s="3">
        <v>5169744</v>
      </c>
      <c r="L48" s="1" t="s">
        <v>685</v>
      </c>
      <c r="M48" s="1" t="s">
        <v>270</v>
      </c>
      <c r="N48" s="1">
        <v>5000</v>
      </c>
      <c r="O48" s="1" t="s">
        <v>260</v>
      </c>
      <c r="P48" s="1" t="s">
        <v>259</v>
      </c>
      <c r="Q48" s="1" t="s">
        <v>260</v>
      </c>
      <c r="R48" s="1" t="s">
        <v>554</v>
      </c>
      <c r="S48" s="1" t="s">
        <v>642</v>
      </c>
      <c r="T48" s="1">
        <v>163</v>
      </c>
      <c r="U48" s="1">
        <v>1</v>
      </c>
      <c r="V48" s="1" t="s">
        <v>373</v>
      </c>
      <c r="W48" s="1"/>
      <c r="X48" s="1"/>
      <c r="Y48" s="1">
        <v>924000</v>
      </c>
      <c r="Z48" s="1">
        <v>5000</v>
      </c>
    </row>
    <row r="49" spans="1:26" ht="19" x14ac:dyDescent="0.25">
      <c r="A49">
        <v>47</v>
      </c>
      <c r="B49" s="1" t="s">
        <v>29</v>
      </c>
      <c r="C49" s="1" t="s">
        <v>29</v>
      </c>
      <c r="D49" s="2" t="s">
        <v>1002</v>
      </c>
      <c r="E49" s="3">
        <f>IFERROR(INDEX(Hoja1!D:D,MATCH(F49,Hoja1!E:E,0)),"")</f>
        <v>27279555576</v>
      </c>
      <c r="F49" s="1">
        <v>27955557</v>
      </c>
      <c r="G49" s="1" t="s">
        <v>78</v>
      </c>
      <c r="H49" s="3" t="s">
        <v>158</v>
      </c>
      <c r="I49" s="3" t="s">
        <v>690</v>
      </c>
      <c r="J49" s="1" t="s">
        <v>691</v>
      </c>
      <c r="K49" s="3">
        <v>7031370</v>
      </c>
      <c r="L49" s="1" t="s">
        <v>692</v>
      </c>
      <c r="M49" s="1" t="s">
        <v>270</v>
      </c>
      <c r="N49" s="1">
        <v>5000</v>
      </c>
      <c r="O49" s="1" t="s">
        <v>260</v>
      </c>
      <c r="P49" s="1" t="s">
        <v>259</v>
      </c>
      <c r="Q49" s="1" t="s">
        <v>260</v>
      </c>
      <c r="R49" s="1" t="s">
        <v>693</v>
      </c>
      <c r="S49" s="1" t="s">
        <v>694</v>
      </c>
      <c r="T49" s="1">
        <v>2775</v>
      </c>
      <c r="U49" s="1">
        <v>1</v>
      </c>
      <c r="V49" s="1" t="s">
        <v>373</v>
      </c>
      <c r="W49" s="1"/>
      <c r="X49" s="1"/>
      <c r="Y49" s="1">
        <v>924000</v>
      </c>
      <c r="Z49" s="1">
        <v>5000</v>
      </c>
    </row>
    <row r="50" spans="1:26" ht="19" x14ac:dyDescent="0.25">
      <c r="A50">
        <v>48</v>
      </c>
      <c r="B50" s="1" t="s">
        <v>31</v>
      </c>
      <c r="C50" s="1" t="s">
        <v>31</v>
      </c>
      <c r="D50" s="2" t="s">
        <v>1002</v>
      </c>
      <c r="E50" s="3">
        <f>IFERROR(INDEX(Hoja1!D:D,MATCH(F50,Hoja1!E:E,0)),"")</f>
        <v>27322387836</v>
      </c>
      <c r="F50" s="1">
        <v>32238783</v>
      </c>
      <c r="G50" s="1" t="s">
        <v>79</v>
      </c>
      <c r="H50" s="3" t="s">
        <v>159</v>
      </c>
      <c r="I50" s="3" t="s">
        <v>699</v>
      </c>
      <c r="J50" s="1" t="s">
        <v>700</v>
      </c>
      <c r="K50" s="3">
        <v>5149372</v>
      </c>
      <c r="L50" s="1" t="s">
        <v>701</v>
      </c>
      <c r="M50" s="1" t="s">
        <v>270</v>
      </c>
      <c r="N50" s="1">
        <v>5000</v>
      </c>
      <c r="O50" s="1" t="s">
        <v>260</v>
      </c>
      <c r="P50" s="1" t="s">
        <v>259</v>
      </c>
      <c r="Q50" s="1" t="s">
        <v>260</v>
      </c>
      <c r="R50" s="1" t="s">
        <v>677</v>
      </c>
      <c r="S50" s="1" t="s">
        <v>702</v>
      </c>
      <c r="T50" s="1">
        <v>793</v>
      </c>
      <c r="U50" s="1"/>
      <c r="V50" s="1"/>
      <c r="W50" s="1"/>
      <c r="X50" s="1"/>
      <c r="Y50" s="1">
        <v>1380500</v>
      </c>
      <c r="Z50" s="1">
        <v>5000</v>
      </c>
    </row>
    <row r="51" spans="1:26" ht="19" x14ac:dyDescent="0.25">
      <c r="A51">
        <v>49</v>
      </c>
      <c r="B51" s="1" t="s">
        <v>28</v>
      </c>
      <c r="C51" s="1" t="s">
        <v>28</v>
      </c>
      <c r="D51" s="2" t="s">
        <v>1002</v>
      </c>
      <c r="E51" s="3">
        <f>IFERROR(INDEX(Hoja1!D:D,MATCH(F51,Hoja1!E:E,0)),"")</f>
        <v>27339755529</v>
      </c>
      <c r="F51" s="1">
        <v>33975552</v>
      </c>
      <c r="G51" s="1" t="s">
        <v>80</v>
      </c>
      <c r="H51" s="3" t="s">
        <v>160</v>
      </c>
      <c r="I51" s="3" t="s">
        <v>707</v>
      </c>
      <c r="J51" s="1" t="s">
        <v>708</v>
      </c>
      <c r="K51" s="3">
        <v>5953280</v>
      </c>
      <c r="L51" s="1" t="s">
        <v>709</v>
      </c>
      <c r="M51" s="1" t="s">
        <v>270</v>
      </c>
      <c r="N51" s="1">
        <v>5014</v>
      </c>
      <c r="O51" s="1" t="s">
        <v>260</v>
      </c>
      <c r="P51" s="1" t="s">
        <v>259</v>
      </c>
      <c r="Q51" s="1" t="s">
        <v>260</v>
      </c>
      <c r="R51" s="1" t="s">
        <v>710</v>
      </c>
      <c r="S51" s="1" t="s">
        <v>711</v>
      </c>
      <c r="T51" s="1">
        <v>3987</v>
      </c>
      <c r="U51" s="1"/>
      <c r="V51" s="1"/>
      <c r="W51" s="1"/>
      <c r="X51" s="1"/>
      <c r="Y51" s="1">
        <v>1039500</v>
      </c>
      <c r="Z51" s="1">
        <v>5014</v>
      </c>
    </row>
    <row r="52" spans="1:26" ht="19" x14ac:dyDescent="0.25">
      <c r="A52">
        <v>50</v>
      </c>
      <c r="B52" s="1" t="s">
        <v>28</v>
      </c>
      <c r="C52" s="1" t="s">
        <v>28</v>
      </c>
      <c r="D52" s="2" t="s">
        <v>1002</v>
      </c>
      <c r="E52" s="3">
        <f>IFERROR(INDEX(Hoja1!D:D,MATCH(F52,Hoja1!E:E,0)),"")</f>
        <v>27279218146</v>
      </c>
      <c r="F52" s="1">
        <v>27921814</v>
      </c>
      <c r="G52" s="1" t="s">
        <v>81</v>
      </c>
      <c r="H52" s="3" t="s">
        <v>161</v>
      </c>
      <c r="I52" s="3" t="s">
        <v>716</v>
      </c>
      <c r="J52" s="1" t="s">
        <v>717</v>
      </c>
      <c r="K52" s="3">
        <v>2475653</v>
      </c>
      <c r="L52" s="1" t="s">
        <v>719</v>
      </c>
      <c r="M52" s="1" t="s">
        <v>270</v>
      </c>
      <c r="N52" s="1">
        <v>5000</v>
      </c>
      <c r="O52" s="1" t="s">
        <v>260</v>
      </c>
      <c r="P52" s="1" t="s">
        <v>331</v>
      </c>
      <c r="Q52" s="1" t="s">
        <v>402</v>
      </c>
      <c r="R52" s="1" t="s">
        <v>554</v>
      </c>
      <c r="S52" s="1" t="s">
        <v>720</v>
      </c>
      <c r="T52" s="1">
        <v>532</v>
      </c>
      <c r="U52" s="1"/>
      <c r="V52" s="1"/>
      <c r="W52" s="1"/>
      <c r="X52" s="1"/>
      <c r="Y52" s="1">
        <v>1842500</v>
      </c>
      <c r="Z52" s="1">
        <v>5000</v>
      </c>
    </row>
    <row r="53" spans="1:26" ht="19" x14ac:dyDescent="0.25">
      <c r="A53">
        <v>51</v>
      </c>
      <c r="B53" s="1" t="s">
        <v>30</v>
      </c>
      <c r="C53" s="1" t="s">
        <v>30</v>
      </c>
      <c r="D53" s="2" t="s">
        <v>1002</v>
      </c>
      <c r="E53" s="3">
        <f>IFERROR(INDEX(Hoja1!D:D,MATCH(F53,Hoja1!E:E,0)),"")</f>
        <v>27396920773</v>
      </c>
      <c r="F53" s="1">
        <v>39692077</v>
      </c>
      <c r="G53" s="1" t="s">
        <v>82</v>
      </c>
      <c r="H53" s="3" t="s">
        <v>162</v>
      </c>
      <c r="I53" s="3" t="s">
        <v>725</v>
      </c>
      <c r="J53" s="1" t="s">
        <v>726</v>
      </c>
      <c r="K53" s="3">
        <v>5168710</v>
      </c>
      <c r="L53" s="1" t="s">
        <v>727</v>
      </c>
      <c r="M53" s="1" t="s">
        <v>270</v>
      </c>
      <c r="N53" s="1">
        <v>5000</v>
      </c>
      <c r="O53" s="1" t="s">
        <v>260</v>
      </c>
      <c r="P53" s="1" t="s">
        <v>259</v>
      </c>
      <c r="Q53" s="1" t="s">
        <v>260</v>
      </c>
      <c r="R53" s="1" t="s">
        <v>728</v>
      </c>
      <c r="S53" s="1" t="s">
        <v>729</v>
      </c>
      <c r="T53" s="1">
        <v>1839</v>
      </c>
      <c r="U53" s="1"/>
      <c r="V53" s="1"/>
      <c r="W53" s="1"/>
      <c r="X53" s="1"/>
      <c r="Y53" s="1">
        <v>1380500</v>
      </c>
      <c r="Z53" s="1">
        <v>5000</v>
      </c>
    </row>
    <row r="54" spans="1:26" ht="19" x14ac:dyDescent="0.25">
      <c r="A54">
        <v>52</v>
      </c>
      <c r="B54" s="1" t="s">
        <v>29</v>
      </c>
      <c r="C54" s="1" t="s">
        <v>29</v>
      </c>
      <c r="D54" s="2" t="s">
        <v>1002</v>
      </c>
      <c r="E54" s="3">
        <f>IFERROR(INDEX(Hoja1!D:D,MATCH(F54,Hoja1!E:E,0)),"")</f>
        <v>20420516933</v>
      </c>
      <c r="F54" s="1">
        <v>42051693</v>
      </c>
      <c r="G54" s="1" t="s">
        <v>83</v>
      </c>
      <c r="H54" s="3" t="s">
        <v>163</v>
      </c>
      <c r="I54" s="3" t="s">
        <v>733</v>
      </c>
      <c r="J54" s="1" t="s">
        <v>734</v>
      </c>
      <c r="K54" s="3">
        <v>3543531</v>
      </c>
      <c r="L54" s="1" t="s">
        <v>735</v>
      </c>
      <c r="M54" s="1" t="s">
        <v>270</v>
      </c>
      <c r="N54" s="1">
        <v>5000</v>
      </c>
      <c r="O54" s="1" t="s">
        <v>260</v>
      </c>
      <c r="P54" s="1" t="s">
        <v>259</v>
      </c>
      <c r="Q54" s="1" t="s">
        <v>260</v>
      </c>
      <c r="R54" s="1" t="s">
        <v>736</v>
      </c>
      <c r="S54" s="1" t="s">
        <v>737</v>
      </c>
      <c r="T54" s="1">
        <v>7115</v>
      </c>
      <c r="U54" s="1"/>
      <c r="V54" s="1"/>
      <c r="W54" s="1"/>
      <c r="X54" s="1"/>
      <c r="Y54" s="1">
        <v>1155000</v>
      </c>
      <c r="Z54" s="1">
        <v>5000</v>
      </c>
    </row>
    <row r="55" spans="1:26" ht="19" x14ac:dyDescent="0.25">
      <c r="A55">
        <v>53</v>
      </c>
      <c r="B55" s="1" t="s">
        <v>28</v>
      </c>
      <c r="C55" s="1" t="s">
        <v>28</v>
      </c>
      <c r="D55" s="2" t="s">
        <v>1002</v>
      </c>
      <c r="E55" s="3">
        <f>IFERROR(INDEX(Hoja1!D:D,MATCH(F55,Hoja1!E:E,0)),"")</f>
        <v>20286577904</v>
      </c>
      <c r="F55" s="1">
        <v>28657790</v>
      </c>
      <c r="G55" s="1" t="s">
        <v>84</v>
      </c>
      <c r="H55" s="3" t="s">
        <v>164</v>
      </c>
      <c r="I55" s="3" t="s">
        <v>743</v>
      </c>
      <c r="J55" s="1" t="s">
        <v>744</v>
      </c>
      <c r="K55" s="3">
        <v>3512122889</v>
      </c>
      <c r="L55" s="1" t="s">
        <v>745</v>
      </c>
      <c r="M55" s="1" t="s">
        <v>270</v>
      </c>
      <c r="N55" s="1">
        <v>0</v>
      </c>
      <c r="O55" s="1" t="s">
        <v>260</v>
      </c>
      <c r="P55" s="1" t="s">
        <v>259</v>
      </c>
      <c r="Q55" s="1" t="s">
        <v>260</v>
      </c>
      <c r="R55" s="1" t="s">
        <v>600</v>
      </c>
      <c r="S55" s="1" t="s">
        <v>746</v>
      </c>
      <c r="T55" s="1">
        <v>6136</v>
      </c>
      <c r="U55" s="1"/>
      <c r="V55" s="1"/>
      <c r="W55" s="1"/>
      <c r="X55" s="1"/>
      <c r="Y55" s="1">
        <v>1155000</v>
      </c>
      <c r="Z55" s="1"/>
    </row>
    <row r="56" spans="1:26" ht="19" x14ac:dyDescent="0.25">
      <c r="A56">
        <v>54</v>
      </c>
      <c r="B56" s="1" t="s">
        <v>28</v>
      </c>
      <c r="C56" s="1" t="s">
        <v>28</v>
      </c>
      <c r="D56" s="2" t="s">
        <v>1002</v>
      </c>
      <c r="E56" s="3">
        <f>IFERROR(INDEX(Hoja1!D:D,MATCH(F56,Hoja1!E:E,0)),"")</f>
        <v>20433705824</v>
      </c>
      <c r="F56" s="1">
        <v>43370582</v>
      </c>
      <c r="G56" s="1" t="s">
        <v>85</v>
      </c>
      <c r="H56" s="3" t="s">
        <v>165</v>
      </c>
      <c r="I56" s="3" t="s">
        <v>751</v>
      </c>
      <c r="J56" s="1" t="s">
        <v>752</v>
      </c>
      <c r="K56" s="3">
        <v>3513373091</v>
      </c>
      <c r="L56" s="1" t="s">
        <v>753</v>
      </c>
      <c r="M56" s="1" t="s">
        <v>270</v>
      </c>
      <c r="N56" s="1">
        <v>5000</v>
      </c>
      <c r="O56" s="1" t="s">
        <v>260</v>
      </c>
      <c r="P56" s="1" t="s">
        <v>259</v>
      </c>
      <c r="Q56" s="1" t="s">
        <v>260</v>
      </c>
      <c r="R56" s="1" t="s">
        <v>755</v>
      </c>
      <c r="S56" s="1" t="s">
        <v>756</v>
      </c>
      <c r="T56" s="1">
        <v>536</v>
      </c>
      <c r="U56" s="1"/>
      <c r="V56" s="1"/>
      <c r="W56" s="1"/>
      <c r="X56" s="1"/>
      <c r="Y56" s="1">
        <v>693000</v>
      </c>
      <c r="Z56" s="1">
        <v>5000</v>
      </c>
    </row>
    <row r="57" spans="1:26" ht="19" x14ac:dyDescent="0.25">
      <c r="A57">
        <v>55</v>
      </c>
      <c r="B57" s="1" t="s">
        <v>29</v>
      </c>
      <c r="C57" s="1" t="s">
        <v>29</v>
      </c>
      <c r="D57" s="2" t="s">
        <v>1002</v>
      </c>
      <c r="E57" s="3">
        <f>IFERROR(INDEX(Hoja1!D:D,MATCH(F57,Hoja1!E:E,0)),"")</f>
        <v>20256522420</v>
      </c>
      <c r="F57" s="1">
        <v>25652242</v>
      </c>
      <c r="G57" s="1" t="s">
        <v>86</v>
      </c>
      <c r="H57" s="3" t="s">
        <v>166</v>
      </c>
      <c r="I57" s="3" t="s">
        <v>761</v>
      </c>
      <c r="J57" s="1" t="s">
        <v>762</v>
      </c>
      <c r="K57" s="3">
        <v>2506000</v>
      </c>
      <c r="L57" s="1" t="s">
        <v>763</v>
      </c>
      <c r="M57" s="1" t="s">
        <v>270</v>
      </c>
      <c r="N57" s="1">
        <v>5000</v>
      </c>
      <c r="O57" s="1" t="s">
        <v>260</v>
      </c>
      <c r="P57" s="1" t="s">
        <v>331</v>
      </c>
      <c r="Q57" s="2" t="s">
        <v>889</v>
      </c>
      <c r="R57" s="1" t="s">
        <v>765</v>
      </c>
      <c r="S57" s="1" t="s">
        <v>766</v>
      </c>
      <c r="T57" s="1" t="s">
        <v>335</v>
      </c>
      <c r="U57" s="1"/>
      <c r="V57" s="1"/>
      <c r="W57" s="1"/>
      <c r="X57" s="1"/>
      <c r="Y57" s="1">
        <v>1380500</v>
      </c>
      <c r="Z57" s="1">
        <v>5000</v>
      </c>
    </row>
    <row r="58" spans="1:26" ht="19" x14ac:dyDescent="0.25">
      <c r="A58">
        <v>56</v>
      </c>
      <c r="B58" s="1" t="s">
        <v>29</v>
      </c>
      <c r="C58" s="1" t="s">
        <v>29</v>
      </c>
      <c r="D58" s="2" t="s">
        <v>1002</v>
      </c>
      <c r="E58" s="3">
        <f>IFERROR(INDEX(Hoja1!D:D,MATCH(F58,Hoja1!E:E,0)),"")</f>
        <v>27284280062</v>
      </c>
      <c r="F58" s="1">
        <v>28428006</v>
      </c>
      <c r="G58" s="1" t="s">
        <v>87</v>
      </c>
      <c r="H58" s="3" t="s">
        <v>167</v>
      </c>
      <c r="I58" s="3" t="s">
        <v>770</v>
      </c>
      <c r="J58" s="1" t="s">
        <v>771</v>
      </c>
      <c r="K58" s="3">
        <v>7592406</v>
      </c>
      <c r="L58" s="1" t="s">
        <v>772</v>
      </c>
      <c r="M58" s="1" t="s">
        <v>270</v>
      </c>
      <c r="N58" s="1">
        <v>5000</v>
      </c>
      <c r="O58" s="1" t="s">
        <v>260</v>
      </c>
      <c r="P58" s="1" t="s">
        <v>259</v>
      </c>
      <c r="Q58" s="1" t="s">
        <v>260</v>
      </c>
      <c r="R58" s="1" t="s">
        <v>773</v>
      </c>
      <c r="S58" s="1" t="s">
        <v>774</v>
      </c>
      <c r="T58" s="1">
        <v>1536</v>
      </c>
      <c r="U58" s="1"/>
      <c r="V58" s="1"/>
      <c r="W58" s="1"/>
      <c r="X58" s="1"/>
      <c r="Y58" s="1">
        <v>924000</v>
      </c>
      <c r="Z58" s="1">
        <v>5000</v>
      </c>
    </row>
    <row r="59" spans="1:26" ht="19" x14ac:dyDescent="0.25">
      <c r="A59">
        <v>57</v>
      </c>
      <c r="B59" s="1" t="s">
        <v>29</v>
      </c>
      <c r="C59" s="1" t="s">
        <v>29</v>
      </c>
      <c r="D59" s="2" t="s">
        <v>1002</v>
      </c>
      <c r="E59" s="3">
        <f>IFERROR(INDEX(Hoja1!D:D,MATCH(F59,Hoja1!E:E,0)),"")</f>
        <v>20419637603</v>
      </c>
      <c r="F59" s="1">
        <v>41963760</v>
      </c>
      <c r="G59" s="1" t="s">
        <v>88</v>
      </c>
      <c r="H59" s="3" t="s">
        <v>168</v>
      </c>
      <c r="I59" s="3" t="s">
        <v>779</v>
      </c>
      <c r="J59" s="1" t="s">
        <v>780</v>
      </c>
      <c r="K59" s="3">
        <v>7897098</v>
      </c>
      <c r="L59" s="1" t="s">
        <v>781</v>
      </c>
      <c r="M59" s="1" t="s">
        <v>270</v>
      </c>
      <c r="N59" s="1">
        <v>5000</v>
      </c>
      <c r="O59" s="1" t="s">
        <v>260</v>
      </c>
      <c r="P59" s="1" t="s">
        <v>259</v>
      </c>
      <c r="Q59" s="1" t="s">
        <v>260</v>
      </c>
      <c r="R59" s="1" t="s">
        <v>782</v>
      </c>
      <c r="S59" s="1" t="s">
        <v>783</v>
      </c>
      <c r="T59" s="1">
        <v>3375</v>
      </c>
      <c r="U59" s="1"/>
      <c r="V59" s="1" t="s">
        <v>784</v>
      </c>
      <c r="W59" s="1"/>
      <c r="X59" s="1"/>
      <c r="Y59" s="1">
        <v>1155000</v>
      </c>
      <c r="Z59" s="1">
        <v>5000</v>
      </c>
    </row>
    <row r="60" spans="1:26" ht="19" x14ac:dyDescent="0.25">
      <c r="A60">
        <v>58</v>
      </c>
      <c r="B60" s="1" t="s">
        <v>28</v>
      </c>
      <c r="C60" s="1" t="s">
        <v>28</v>
      </c>
      <c r="D60" s="2" t="s">
        <v>1002</v>
      </c>
      <c r="E60" s="3">
        <f>IFERROR(INDEX(Hoja1!D:D,MATCH(F60,Hoja1!E:E,0)),"")</f>
        <v>20330904365</v>
      </c>
      <c r="F60" s="1">
        <v>33090436</v>
      </c>
      <c r="G60" s="1" t="s">
        <v>89</v>
      </c>
      <c r="H60" s="3" t="s">
        <v>169</v>
      </c>
      <c r="I60" s="3" t="s">
        <v>788</v>
      </c>
      <c r="J60" s="1" t="s">
        <v>789</v>
      </c>
      <c r="K60" s="3">
        <v>6142238</v>
      </c>
      <c r="L60" s="1" t="s">
        <v>790</v>
      </c>
      <c r="M60" s="1" t="s">
        <v>270</v>
      </c>
      <c r="N60" s="1">
        <v>5000</v>
      </c>
      <c r="O60" s="1" t="s">
        <v>260</v>
      </c>
      <c r="P60" s="1" t="s">
        <v>259</v>
      </c>
      <c r="Q60" s="1" t="s">
        <v>260</v>
      </c>
      <c r="R60" s="1" t="s">
        <v>791</v>
      </c>
      <c r="S60" s="1" t="s">
        <v>792</v>
      </c>
      <c r="T60" s="1">
        <v>883</v>
      </c>
      <c r="U60" s="1">
        <v>8</v>
      </c>
      <c r="V60" s="1" t="s">
        <v>793</v>
      </c>
      <c r="W60" s="1">
        <v>3</v>
      </c>
      <c r="X60" s="1"/>
      <c r="Y60" s="1">
        <v>1155000</v>
      </c>
      <c r="Z60" s="1">
        <v>5000</v>
      </c>
    </row>
    <row r="61" spans="1:26" ht="19" x14ac:dyDescent="0.25">
      <c r="A61">
        <v>59</v>
      </c>
      <c r="B61" s="1" t="s">
        <v>28</v>
      </c>
      <c r="C61" s="1" t="s">
        <v>28</v>
      </c>
      <c r="D61" s="2" t="s">
        <v>1002</v>
      </c>
      <c r="E61" s="3">
        <f>IFERROR(INDEX(Hoja1!D:D,MATCH(F61,Hoja1!E:E,0)),"")</f>
        <v>20292070749</v>
      </c>
      <c r="F61" s="1">
        <v>29207074</v>
      </c>
      <c r="G61" s="1" t="s">
        <v>90</v>
      </c>
      <c r="H61" s="3" t="s">
        <v>170</v>
      </c>
      <c r="I61" s="3" t="s">
        <v>798</v>
      </c>
      <c r="J61" s="1" t="s">
        <v>799</v>
      </c>
      <c r="K61" s="3">
        <v>6502640</v>
      </c>
      <c r="L61" s="1" t="s">
        <v>800</v>
      </c>
      <c r="M61" s="1" t="s">
        <v>270</v>
      </c>
      <c r="N61" s="1">
        <v>5000</v>
      </c>
      <c r="O61" s="1" t="s">
        <v>260</v>
      </c>
      <c r="P61" s="1" t="s">
        <v>331</v>
      </c>
      <c r="Q61" s="2" t="s">
        <v>999</v>
      </c>
      <c r="R61" s="1" t="s">
        <v>802</v>
      </c>
      <c r="S61" s="1" t="s">
        <v>803</v>
      </c>
      <c r="T61" s="1">
        <v>672</v>
      </c>
      <c r="U61" s="1"/>
      <c r="V61" s="1"/>
      <c r="W61" s="1"/>
      <c r="X61" s="1"/>
      <c r="Y61" s="1">
        <v>1380500</v>
      </c>
      <c r="Z61" s="1">
        <v>5000</v>
      </c>
    </row>
    <row r="62" spans="1:26" ht="19" x14ac:dyDescent="0.25">
      <c r="A62">
        <v>61</v>
      </c>
      <c r="B62" s="1" t="s">
        <v>29</v>
      </c>
      <c r="C62" s="1" t="s">
        <v>29</v>
      </c>
      <c r="D62" s="2" t="s">
        <v>1002</v>
      </c>
      <c r="E62" s="3">
        <f>IFERROR(INDEX(Hoja1!D:D,MATCH(F62,Hoja1!E:E,0)),"")</f>
        <v>20445803635</v>
      </c>
      <c r="F62" s="1">
        <v>44580363</v>
      </c>
      <c r="G62" s="1" t="s">
        <v>91</v>
      </c>
      <c r="H62" s="3" t="s">
        <v>172</v>
      </c>
      <c r="I62" s="3" t="s">
        <v>816</v>
      </c>
      <c r="J62" s="1" t="s">
        <v>817</v>
      </c>
      <c r="K62" s="3">
        <v>3518095620</v>
      </c>
      <c r="L62" s="1" t="s">
        <v>818</v>
      </c>
      <c r="M62" s="1" t="s">
        <v>270</v>
      </c>
      <c r="N62" s="1">
        <v>5000</v>
      </c>
      <c r="O62" s="1" t="s">
        <v>260</v>
      </c>
      <c r="P62" s="1" t="s">
        <v>259</v>
      </c>
      <c r="Q62" s="1" t="s">
        <v>260</v>
      </c>
      <c r="R62" s="1" t="s">
        <v>811</v>
      </c>
      <c r="S62" s="1" t="s">
        <v>812</v>
      </c>
      <c r="T62" s="1">
        <v>476</v>
      </c>
      <c r="U62" s="1"/>
      <c r="V62" s="1"/>
      <c r="W62" s="1"/>
      <c r="X62" s="1"/>
      <c r="Y62" s="1">
        <v>1380500</v>
      </c>
      <c r="Z62" s="1">
        <v>5000</v>
      </c>
    </row>
    <row r="63" spans="1:26" ht="19" x14ac:dyDescent="0.25">
      <c r="A63">
        <v>62</v>
      </c>
      <c r="B63" s="1" t="s">
        <v>29</v>
      </c>
      <c r="C63" s="1" t="s">
        <v>29</v>
      </c>
      <c r="D63" s="2" t="s">
        <v>1002</v>
      </c>
      <c r="E63" s="3">
        <f>IFERROR(INDEX(Hoja1!D:D,MATCH(F63,Hoja1!E:E,0)),"")</f>
        <v>20238241341</v>
      </c>
      <c r="F63" s="1">
        <v>23824134</v>
      </c>
      <c r="G63" s="1" t="s">
        <v>92</v>
      </c>
      <c r="H63" s="3" t="s">
        <v>171</v>
      </c>
      <c r="I63" s="3" t="s">
        <v>808</v>
      </c>
      <c r="J63" s="1" t="s">
        <v>809</v>
      </c>
      <c r="K63" s="3">
        <v>5552485</v>
      </c>
      <c r="L63" s="1" t="s">
        <v>810</v>
      </c>
      <c r="M63" s="1" t="s">
        <v>270</v>
      </c>
      <c r="N63" s="1">
        <v>5000</v>
      </c>
      <c r="O63" s="1" t="s">
        <v>260</v>
      </c>
      <c r="P63" s="1" t="s">
        <v>259</v>
      </c>
      <c r="Q63" s="1" t="s">
        <v>260</v>
      </c>
      <c r="R63" s="1" t="s">
        <v>819</v>
      </c>
      <c r="S63" s="1" t="s">
        <v>820</v>
      </c>
      <c r="T63" s="1">
        <v>476</v>
      </c>
      <c r="U63" s="1"/>
      <c r="V63" s="1"/>
      <c r="W63" s="1"/>
      <c r="X63" s="1"/>
      <c r="Y63" s="1">
        <v>1039500</v>
      </c>
      <c r="Z63" s="1">
        <v>5000</v>
      </c>
    </row>
    <row r="64" spans="1:26" ht="19" x14ac:dyDescent="0.25">
      <c r="A64">
        <v>63</v>
      </c>
      <c r="B64" s="1" t="s">
        <v>29</v>
      </c>
      <c r="C64" s="1" t="s">
        <v>29</v>
      </c>
      <c r="D64" s="2" t="s">
        <v>1002</v>
      </c>
      <c r="E64" s="3">
        <f>IFERROR(INDEX(Hoja1!D:D,MATCH(F64,Hoja1!E:E,0)),"")</f>
        <v>23416819564</v>
      </c>
      <c r="F64" s="1">
        <v>41681956</v>
      </c>
      <c r="G64" s="1" t="s">
        <v>93</v>
      </c>
      <c r="H64" s="3" t="s">
        <v>173</v>
      </c>
      <c r="I64" s="3" t="s">
        <v>824</v>
      </c>
      <c r="J64" s="1" t="s">
        <v>825</v>
      </c>
      <c r="K64" s="3">
        <v>3512383722</v>
      </c>
      <c r="L64" s="1" t="s">
        <v>826</v>
      </c>
      <c r="M64" s="1" t="s">
        <v>270</v>
      </c>
      <c r="N64" s="1">
        <v>5000</v>
      </c>
      <c r="O64" s="1" t="s">
        <v>260</v>
      </c>
      <c r="P64" s="1" t="s">
        <v>259</v>
      </c>
      <c r="Q64" s="1" t="s">
        <v>260</v>
      </c>
      <c r="R64" s="1" t="s">
        <v>554</v>
      </c>
      <c r="S64" s="1" t="s">
        <v>828</v>
      </c>
      <c r="T64" s="1">
        <v>15</v>
      </c>
      <c r="U64" s="1"/>
      <c r="V64" s="1"/>
      <c r="W64" s="1"/>
      <c r="X64" s="1"/>
      <c r="Y64" s="1">
        <v>1039500</v>
      </c>
      <c r="Z64" s="1">
        <v>5000</v>
      </c>
    </row>
    <row r="65" spans="1:26" ht="19" x14ac:dyDescent="0.25">
      <c r="A65">
        <v>64</v>
      </c>
      <c r="B65" s="1" t="s">
        <v>28</v>
      </c>
      <c r="C65" s="1" t="s">
        <v>28</v>
      </c>
      <c r="D65" s="2" t="s">
        <v>1002</v>
      </c>
      <c r="E65" s="3">
        <f>IFERROR(INDEX(Hoja1!D:D,MATCH(F65,Hoja1!E:E,0)),"")</f>
        <v>20168374004</v>
      </c>
      <c r="F65" s="1">
        <v>16837400</v>
      </c>
      <c r="G65" s="1" t="s">
        <v>94</v>
      </c>
      <c r="H65" s="3" t="s">
        <v>174</v>
      </c>
      <c r="I65" s="3" t="s">
        <v>832</v>
      </c>
      <c r="J65" s="1" t="s">
        <v>833</v>
      </c>
      <c r="K65" s="3">
        <v>3040112</v>
      </c>
      <c r="L65" s="1" t="s">
        <v>834</v>
      </c>
      <c r="M65" s="1" t="s">
        <v>270</v>
      </c>
      <c r="N65" s="1">
        <v>5000</v>
      </c>
      <c r="O65" s="1" t="s">
        <v>260</v>
      </c>
      <c r="P65" s="1" t="s">
        <v>259</v>
      </c>
      <c r="Q65" s="1" t="s">
        <v>260</v>
      </c>
      <c r="R65" s="1" t="s">
        <v>677</v>
      </c>
      <c r="S65" s="1" t="s">
        <v>835</v>
      </c>
      <c r="T65" s="1">
        <v>1147</v>
      </c>
      <c r="U65" s="1"/>
      <c r="V65" s="1"/>
      <c r="W65" s="1"/>
      <c r="X65" s="1"/>
      <c r="Y65" s="1">
        <v>808500</v>
      </c>
      <c r="Z65" s="1">
        <v>5000</v>
      </c>
    </row>
    <row r="66" spans="1:26" ht="19" x14ac:dyDescent="0.25">
      <c r="A66">
        <v>65</v>
      </c>
      <c r="B66" s="1" t="s">
        <v>29</v>
      </c>
      <c r="C66" s="1" t="s">
        <v>29</v>
      </c>
      <c r="D66" s="2" t="s">
        <v>1002</v>
      </c>
      <c r="E66" s="3">
        <f>IFERROR(INDEX(Hoja1!D:D,MATCH(F66,Hoja1!E:E,0)),"")</f>
        <v>27423045278</v>
      </c>
      <c r="F66" s="1">
        <v>42304527</v>
      </c>
      <c r="G66" s="1" t="s">
        <v>95</v>
      </c>
      <c r="H66" s="3" t="s">
        <v>175</v>
      </c>
      <c r="I66" s="3" t="s">
        <v>840</v>
      </c>
      <c r="J66" s="1" t="s">
        <v>841</v>
      </c>
      <c r="K66" s="3">
        <v>3571571609</v>
      </c>
      <c r="L66" s="1" t="s">
        <v>842</v>
      </c>
      <c r="M66" s="1" t="s">
        <v>270</v>
      </c>
      <c r="N66" s="1">
        <v>0</v>
      </c>
      <c r="O66" s="1" t="s">
        <v>260</v>
      </c>
      <c r="P66" s="2" t="s">
        <v>1000</v>
      </c>
      <c r="Q66" s="2" t="s">
        <v>1001</v>
      </c>
      <c r="R66" s="1" t="s">
        <v>844</v>
      </c>
      <c r="S66" s="1" t="s">
        <v>845</v>
      </c>
      <c r="T66" s="1">
        <v>507</v>
      </c>
      <c r="U66" s="1"/>
      <c r="V66" s="1"/>
      <c r="W66" s="1"/>
      <c r="X66" s="1"/>
      <c r="Y66" s="1">
        <v>1155000</v>
      </c>
      <c r="Z66" s="1"/>
    </row>
    <row r="67" spans="1:26" ht="19" x14ac:dyDescent="0.25">
      <c r="A67">
        <v>66</v>
      </c>
      <c r="B67" s="1" t="s">
        <v>29</v>
      </c>
      <c r="C67" s="1" t="s">
        <v>29</v>
      </c>
      <c r="D67" s="2" t="s">
        <v>1002</v>
      </c>
      <c r="E67" s="3">
        <f>IFERROR(INDEX(Hoja1!D:D,MATCH(F67,Hoja1!E:E,0)),"")</f>
        <v>20370957577</v>
      </c>
      <c r="F67" s="1">
        <v>37095757</v>
      </c>
      <c r="G67" s="1" t="s">
        <v>96</v>
      </c>
      <c r="H67" s="3" t="s">
        <v>176</v>
      </c>
      <c r="I67" s="3" t="s">
        <v>850</v>
      </c>
      <c r="J67" s="1" t="s">
        <v>851</v>
      </c>
      <c r="K67" s="3">
        <v>2021263</v>
      </c>
      <c r="L67" s="1" t="s">
        <v>852</v>
      </c>
      <c r="M67" s="1" t="s">
        <v>270</v>
      </c>
      <c r="N67" s="1">
        <v>5000</v>
      </c>
      <c r="O67" s="1" t="s">
        <v>260</v>
      </c>
      <c r="P67" s="1" t="s">
        <v>259</v>
      </c>
      <c r="Q67" s="1" t="s">
        <v>260</v>
      </c>
      <c r="R67" s="1" t="s">
        <v>853</v>
      </c>
      <c r="S67" s="1" t="s">
        <v>854</v>
      </c>
      <c r="T67" s="1">
        <v>1686</v>
      </c>
      <c r="U67" s="1"/>
      <c r="V67" s="1"/>
      <c r="W67" s="1"/>
      <c r="X67" s="1"/>
      <c r="Y67" s="1">
        <v>1380500</v>
      </c>
      <c r="Z67" s="1">
        <v>5000</v>
      </c>
    </row>
    <row r="68" spans="1:26" ht="19" x14ac:dyDescent="0.25">
      <c r="A68">
        <v>67</v>
      </c>
      <c r="B68" s="1" t="s">
        <v>29</v>
      </c>
      <c r="C68" s="1" t="s">
        <v>29</v>
      </c>
      <c r="D68" s="2" t="s">
        <v>1002</v>
      </c>
      <c r="E68" s="3">
        <f>IFERROR(INDEX(Hoja1!D:D,MATCH(F68,Hoja1!E:E,0)),"")</f>
        <v>24399346629</v>
      </c>
      <c r="F68" s="1">
        <v>39934662</v>
      </c>
      <c r="G68" s="1" t="s">
        <v>97</v>
      </c>
      <c r="H68" s="3" t="s">
        <v>177</v>
      </c>
      <c r="I68" s="3" t="s">
        <v>860</v>
      </c>
      <c r="J68" s="1" t="s">
        <v>861</v>
      </c>
      <c r="K68" s="3">
        <v>3512670045</v>
      </c>
      <c r="L68" s="1" t="s">
        <v>862</v>
      </c>
      <c r="M68" s="1" t="s">
        <v>270</v>
      </c>
      <c r="N68" s="1">
        <v>0</v>
      </c>
      <c r="O68" s="1" t="s">
        <v>260</v>
      </c>
      <c r="P68" s="1" t="s">
        <v>259</v>
      </c>
      <c r="Q68" s="1" t="s">
        <v>260</v>
      </c>
      <c r="R68" s="1" t="s">
        <v>863</v>
      </c>
      <c r="S68" s="1" t="s">
        <v>864</v>
      </c>
      <c r="T68" s="1">
        <v>2111</v>
      </c>
      <c r="U68" s="1"/>
      <c r="V68" s="1"/>
      <c r="W68" s="1"/>
      <c r="X68" s="1"/>
      <c r="Y68" s="1">
        <v>924000</v>
      </c>
      <c r="Z68" s="1"/>
    </row>
    <row r="69" spans="1:26" ht="19" x14ac:dyDescent="0.25">
      <c r="A69">
        <v>68</v>
      </c>
      <c r="B69" s="1" t="s">
        <v>28</v>
      </c>
      <c r="C69" s="1" t="s">
        <v>28</v>
      </c>
      <c r="D69" s="2" t="s">
        <v>1002</v>
      </c>
      <c r="E69" s="3">
        <f>IFERROR(INDEX(Hoja1!D:D,MATCH(F69,Hoja1!E:E,0)),"")</f>
        <v>20348389352</v>
      </c>
      <c r="F69" s="1">
        <v>34838935</v>
      </c>
      <c r="G69" s="1" t="s">
        <v>98</v>
      </c>
      <c r="H69" s="3" t="s">
        <v>178</v>
      </c>
      <c r="I69" s="3" t="s">
        <v>869</v>
      </c>
      <c r="J69" s="1" t="s">
        <v>870</v>
      </c>
      <c r="K69" s="3">
        <v>3516439621</v>
      </c>
      <c r="L69" s="1">
        <v>0</v>
      </c>
      <c r="M69" s="1" t="s">
        <v>270</v>
      </c>
      <c r="N69" s="1">
        <v>0</v>
      </c>
      <c r="O69" s="1" t="s">
        <v>260</v>
      </c>
      <c r="P69" s="1" t="s">
        <v>259</v>
      </c>
      <c r="Q69" s="1" t="s">
        <v>260</v>
      </c>
      <c r="R69" s="1" t="s">
        <v>600</v>
      </c>
      <c r="S69" s="1" t="s">
        <v>872</v>
      </c>
      <c r="T69" s="1">
        <v>6463</v>
      </c>
      <c r="U69" s="1"/>
      <c r="V69" s="1"/>
      <c r="W69" s="1"/>
      <c r="X69" s="1"/>
      <c r="Y69" s="1">
        <v>693000</v>
      </c>
      <c r="Z69" s="1"/>
    </row>
    <row r="70" spans="1:26" ht="19" x14ac:dyDescent="0.25">
      <c r="A70">
        <v>69</v>
      </c>
      <c r="B70" s="1" t="s">
        <v>28</v>
      </c>
      <c r="C70" s="1" t="s">
        <v>28</v>
      </c>
      <c r="D70" s="2" t="s">
        <v>1002</v>
      </c>
      <c r="E70" s="3">
        <f>IFERROR(INDEX(Hoja1!D:D,MATCH(F70,Hoja1!E:E,0)),"")</f>
        <v>27361437344</v>
      </c>
      <c r="F70" s="1">
        <v>36143734</v>
      </c>
      <c r="G70" s="1" t="s">
        <v>99</v>
      </c>
      <c r="H70" s="3" t="s">
        <v>179</v>
      </c>
      <c r="I70" s="3" t="s">
        <v>877</v>
      </c>
      <c r="J70" s="1" t="s">
        <v>878</v>
      </c>
      <c r="K70" s="3">
        <v>3033341</v>
      </c>
      <c r="L70" s="1" t="s">
        <v>879</v>
      </c>
      <c r="M70" s="1" t="s">
        <v>270</v>
      </c>
      <c r="N70" s="1">
        <v>5000</v>
      </c>
      <c r="O70" s="1" t="s">
        <v>260</v>
      </c>
      <c r="P70" s="1" t="s">
        <v>259</v>
      </c>
      <c r="Q70" s="1" t="s">
        <v>260</v>
      </c>
      <c r="R70" s="1" t="s">
        <v>880</v>
      </c>
      <c r="S70" s="1" t="s">
        <v>881</v>
      </c>
      <c r="T70" s="1">
        <v>5765</v>
      </c>
      <c r="U70" s="1"/>
      <c r="V70" s="1"/>
      <c r="W70" s="1"/>
      <c r="X70" s="1"/>
      <c r="Y70" s="1">
        <v>808500</v>
      </c>
      <c r="Z70" s="1">
        <v>5000</v>
      </c>
    </row>
    <row r="71" spans="1:26" ht="19" x14ac:dyDescent="0.25">
      <c r="A71">
        <v>70</v>
      </c>
      <c r="B71" s="1" t="s">
        <v>28</v>
      </c>
      <c r="C71" s="1" t="s">
        <v>28</v>
      </c>
      <c r="D71" s="2" t="s">
        <v>1002</v>
      </c>
      <c r="E71" s="3">
        <f>IFERROR(INDEX(Hoja1!D:D,MATCH(F71,Hoja1!E:E,0)),"")</f>
        <v>27310414900</v>
      </c>
      <c r="F71" s="1">
        <v>31041490</v>
      </c>
      <c r="G71" s="1" t="s">
        <v>100</v>
      </c>
      <c r="H71" s="3" t="s">
        <v>180</v>
      </c>
      <c r="I71" s="3" t="s">
        <v>886</v>
      </c>
      <c r="J71" s="1" t="s">
        <v>887</v>
      </c>
      <c r="K71" s="3">
        <v>2582283</v>
      </c>
      <c r="L71" s="1" t="s">
        <v>888</v>
      </c>
      <c r="M71" s="1" t="s">
        <v>270</v>
      </c>
      <c r="N71" s="1">
        <v>5000</v>
      </c>
      <c r="O71" s="1" t="s">
        <v>260</v>
      </c>
      <c r="P71" s="1" t="s">
        <v>331</v>
      </c>
      <c r="Q71" s="1" t="s">
        <v>889</v>
      </c>
      <c r="R71" s="1" t="s">
        <v>890</v>
      </c>
      <c r="S71" s="1" t="s">
        <v>891</v>
      </c>
      <c r="T71" s="1">
        <v>1889</v>
      </c>
      <c r="U71" s="1"/>
      <c r="V71" s="1"/>
      <c r="W71" s="1"/>
      <c r="X71" s="1"/>
      <c r="Y71" s="1">
        <v>1039500</v>
      </c>
      <c r="Z71" s="1">
        <v>5000</v>
      </c>
    </row>
    <row r="72" spans="1:26" ht="19" x14ac:dyDescent="0.25">
      <c r="A72">
        <v>71</v>
      </c>
      <c r="B72" s="1" t="s">
        <v>29</v>
      </c>
      <c r="C72" s="1" t="s">
        <v>29</v>
      </c>
      <c r="D72" s="2" t="s">
        <v>1002</v>
      </c>
      <c r="E72" s="3">
        <f>IFERROR(INDEX(Hoja1!D:D,MATCH(F72,Hoja1!E:E,0)),"")</f>
        <v>27448722258</v>
      </c>
      <c r="F72" s="1">
        <v>44872225</v>
      </c>
      <c r="G72" s="1" t="s">
        <v>101</v>
      </c>
      <c r="H72" s="3" t="s">
        <v>181</v>
      </c>
      <c r="I72" s="3" t="s">
        <v>897</v>
      </c>
      <c r="J72" s="1" t="s">
        <v>898</v>
      </c>
      <c r="K72" s="3">
        <v>3468411273</v>
      </c>
      <c r="L72" s="1" t="s">
        <v>899</v>
      </c>
      <c r="M72" s="1" t="s">
        <v>270</v>
      </c>
      <c r="N72" s="1">
        <v>5000</v>
      </c>
      <c r="O72" s="1" t="s">
        <v>260</v>
      </c>
      <c r="P72" s="1" t="s">
        <v>259</v>
      </c>
      <c r="Q72" s="1" t="s">
        <v>260</v>
      </c>
      <c r="R72" s="1" t="s">
        <v>844</v>
      </c>
      <c r="S72" s="1" t="s">
        <v>900</v>
      </c>
      <c r="T72" s="1">
        <v>220</v>
      </c>
      <c r="U72" s="1"/>
      <c r="V72" s="1"/>
      <c r="W72" s="1"/>
      <c r="X72" s="1"/>
      <c r="Y72" s="1">
        <v>1155000</v>
      </c>
      <c r="Z72" s="1">
        <v>5000</v>
      </c>
    </row>
    <row r="73" spans="1:26" ht="19" x14ac:dyDescent="0.25">
      <c r="A73">
        <v>72</v>
      </c>
      <c r="B73" s="1" t="s">
        <v>28</v>
      </c>
      <c r="C73" s="1" t="s">
        <v>28</v>
      </c>
      <c r="D73" s="2" t="s">
        <v>1002</v>
      </c>
      <c r="E73" s="3">
        <f>IFERROR(INDEX(Hoja1!D:D,MATCH(F73,Hoja1!E:E,0)),"")</f>
        <v>27426411402</v>
      </c>
      <c r="F73" s="1">
        <v>42641140</v>
      </c>
      <c r="G73" s="1" t="s">
        <v>102</v>
      </c>
      <c r="H73" s="3" t="s">
        <v>182</v>
      </c>
      <c r="I73" s="3" t="s">
        <v>905</v>
      </c>
      <c r="J73" s="1" t="s">
        <v>906</v>
      </c>
      <c r="K73" s="3">
        <v>3516840132</v>
      </c>
      <c r="L73" s="1" t="s">
        <v>907</v>
      </c>
      <c r="M73" s="1" t="s">
        <v>270</v>
      </c>
      <c r="N73" s="1">
        <v>0</v>
      </c>
      <c r="O73" s="1" t="s">
        <v>260</v>
      </c>
      <c r="P73" s="1" t="s">
        <v>259</v>
      </c>
      <c r="Q73" s="1" t="s">
        <v>260</v>
      </c>
      <c r="R73" s="1" t="s">
        <v>908</v>
      </c>
      <c r="S73" s="1" t="s">
        <v>909</v>
      </c>
      <c r="T73" s="1">
        <v>3463</v>
      </c>
      <c r="U73" s="1"/>
      <c r="V73" s="1"/>
      <c r="W73" s="1"/>
      <c r="X73" s="1"/>
      <c r="Y73" s="1">
        <v>808500</v>
      </c>
      <c r="Z73" s="1"/>
    </row>
    <row r="74" spans="1:26" ht="19" x14ac:dyDescent="0.25">
      <c r="A74">
        <v>73</v>
      </c>
      <c r="B74" s="1" t="s">
        <v>28</v>
      </c>
      <c r="C74" s="1" t="s">
        <v>28</v>
      </c>
      <c r="D74" s="2" t="s">
        <v>1002</v>
      </c>
      <c r="E74" s="3">
        <f>IFERROR(INDEX(Hoja1!D:D,MATCH(F74,Hoja1!E:E,0)),"")</f>
        <v>23363560709</v>
      </c>
      <c r="F74" s="1">
        <v>36356070</v>
      </c>
      <c r="G74" s="1" t="s">
        <v>103</v>
      </c>
      <c r="H74" s="3" t="s">
        <v>183</v>
      </c>
      <c r="I74" s="3" t="s">
        <v>914</v>
      </c>
      <c r="J74" s="1" t="s">
        <v>915</v>
      </c>
      <c r="K74" s="3">
        <v>3905917</v>
      </c>
      <c r="L74" s="1" t="s">
        <v>916</v>
      </c>
      <c r="M74" s="1" t="s">
        <v>270</v>
      </c>
      <c r="N74" s="1">
        <v>5000</v>
      </c>
      <c r="O74" s="1" t="s">
        <v>260</v>
      </c>
      <c r="P74" s="1" t="s">
        <v>259</v>
      </c>
      <c r="Q74" s="1" t="s">
        <v>260</v>
      </c>
      <c r="R74" s="1" t="s">
        <v>500</v>
      </c>
      <c r="S74" s="1" t="s">
        <v>917</v>
      </c>
      <c r="T74" s="1">
        <v>2476</v>
      </c>
      <c r="U74" s="1">
        <v>2</v>
      </c>
      <c r="V74" s="1" t="s">
        <v>472</v>
      </c>
      <c r="W74" s="1"/>
      <c r="X74" s="1"/>
      <c r="Y74" s="1">
        <v>1380500</v>
      </c>
      <c r="Z74" s="1">
        <v>5000</v>
      </c>
    </row>
    <row r="75" spans="1:26" ht="19" x14ac:dyDescent="0.25">
      <c r="A75">
        <v>74</v>
      </c>
      <c r="B75" s="1" t="s">
        <v>29</v>
      </c>
      <c r="C75" s="1" t="s">
        <v>29</v>
      </c>
      <c r="D75" s="2" t="s">
        <v>1002</v>
      </c>
      <c r="E75" s="3">
        <f>IFERROR(INDEX(Hoja1!D:D,MATCH(F75,Hoja1!E:E,0)),"")</f>
        <v>20308234917</v>
      </c>
      <c r="F75" s="1">
        <v>30823491</v>
      </c>
      <c r="G75" s="1" t="s">
        <v>104</v>
      </c>
      <c r="H75" s="3" t="s">
        <v>184</v>
      </c>
      <c r="I75" s="3" t="s">
        <v>922</v>
      </c>
      <c r="J75" s="1" t="s">
        <v>923</v>
      </c>
      <c r="K75" s="3">
        <v>2914268185</v>
      </c>
      <c r="L75" s="1" t="s">
        <v>924</v>
      </c>
      <c r="M75" s="1" t="s">
        <v>270</v>
      </c>
      <c r="N75" s="1">
        <v>0</v>
      </c>
      <c r="O75" s="1" t="s">
        <v>260</v>
      </c>
      <c r="P75" s="1" t="s">
        <v>259</v>
      </c>
      <c r="Q75" s="1" t="s">
        <v>260</v>
      </c>
      <c r="R75" s="1" t="s">
        <v>925</v>
      </c>
      <c r="S75" s="1" t="s">
        <v>926</v>
      </c>
      <c r="T75" s="1">
        <v>2840</v>
      </c>
      <c r="U75" s="1"/>
      <c r="V75" s="1"/>
      <c r="W75" s="1"/>
      <c r="X75" s="1"/>
      <c r="Y75" s="1">
        <v>924000</v>
      </c>
      <c r="Z75" s="1"/>
    </row>
    <row r="76" spans="1:26" ht="19" x14ac:dyDescent="0.25">
      <c r="A76">
        <v>75</v>
      </c>
      <c r="B76" s="1" t="s">
        <v>28</v>
      </c>
      <c r="C76" s="1" t="s">
        <v>28</v>
      </c>
      <c r="D76" s="2" t="s">
        <v>1002</v>
      </c>
      <c r="E76" s="3">
        <v>27243565990</v>
      </c>
      <c r="F76" s="1">
        <v>24356599</v>
      </c>
      <c r="G76" s="2" t="s">
        <v>998</v>
      </c>
      <c r="H76" s="3" t="s">
        <v>185</v>
      </c>
      <c r="I76" s="3" t="s">
        <v>931</v>
      </c>
      <c r="J76" s="1" t="s">
        <v>932</v>
      </c>
      <c r="K76" s="3">
        <v>2642678</v>
      </c>
      <c r="L76" s="1" t="s">
        <v>933</v>
      </c>
      <c r="M76" s="2" t="s">
        <v>270</v>
      </c>
      <c r="N76" s="1">
        <v>5000</v>
      </c>
      <c r="O76" s="2" t="s">
        <v>260</v>
      </c>
      <c r="P76" s="2" t="s">
        <v>259</v>
      </c>
      <c r="Q76" s="1" t="s">
        <v>260</v>
      </c>
      <c r="R76" s="1" t="s">
        <v>331</v>
      </c>
      <c r="S76" s="1" t="s">
        <v>934</v>
      </c>
      <c r="T76" s="1">
        <v>2318</v>
      </c>
      <c r="U76" s="1"/>
      <c r="V76" s="1"/>
      <c r="W76" s="1"/>
      <c r="X76" s="1"/>
      <c r="Y76" s="1">
        <v>1380500</v>
      </c>
      <c r="Z76" s="1">
        <v>5000</v>
      </c>
    </row>
    <row r="77" spans="1:26" ht="19" x14ac:dyDescent="0.25">
      <c r="A77">
        <v>76</v>
      </c>
      <c r="B77" s="1" t="s">
        <v>29</v>
      </c>
      <c r="C77" s="1" t="s">
        <v>29</v>
      </c>
      <c r="D77" s="2" t="s">
        <v>1002</v>
      </c>
      <c r="E77" s="3">
        <f>IFERROR(INDEX(Hoja1!D:D,MATCH(F77,Hoja1!E:E,0)),"")</f>
        <v>20294746472</v>
      </c>
      <c r="F77" s="1">
        <v>29474647</v>
      </c>
      <c r="G77" s="1" t="s">
        <v>105</v>
      </c>
      <c r="H77" s="3" t="s">
        <v>186</v>
      </c>
      <c r="I77" s="3" t="s">
        <v>939</v>
      </c>
      <c r="J77" s="1" t="s">
        <v>940</v>
      </c>
      <c r="K77" s="3">
        <v>6847856</v>
      </c>
      <c r="L77" s="1" t="s">
        <v>941</v>
      </c>
      <c r="M77" s="1" t="s">
        <v>270</v>
      </c>
      <c r="N77" s="1">
        <v>5000</v>
      </c>
      <c r="O77" s="1" t="s">
        <v>260</v>
      </c>
      <c r="P77" s="1" t="s">
        <v>259</v>
      </c>
      <c r="Q77" s="1" t="s">
        <v>260</v>
      </c>
      <c r="R77" s="1" t="s">
        <v>942</v>
      </c>
      <c r="S77" s="1" t="s">
        <v>943</v>
      </c>
      <c r="T77" s="1">
        <v>4232</v>
      </c>
      <c r="U77" s="1"/>
      <c r="V77" s="1"/>
      <c r="W77" s="1"/>
      <c r="X77" s="1"/>
      <c r="Y77" s="1">
        <v>1380500</v>
      </c>
      <c r="Z77" s="1">
        <v>5000</v>
      </c>
    </row>
    <row r="78" spans="1:26" ht="19" x14ac:dyDescent="0.25">
      <c r="A78">
        <v>77</v>
      </c>
      <c r="B78" s="1" t="s">
        <v>29</v>
      </c>
      <c r="C78" s="1" t="s">
        <v>29</v>
      </c>
      <c r="D78" s="2" t="s">
        <v>1002</v>
      </c>
      <c r="E78" s="3">
        <f>IFERROR(INDEX(Hoja1!D:D,MATCH(F78,Hoja1!E:E,0)),"")</f>
        <v>23185572404</v>
      </c>
      <c r="F78" s="1">
        <v>18557240</v>
      </c>
      <c r="G78" s="1" t="s">
        <v>106</v>
      </c>
      <c r="H78" s="3" t="s">
        <v>187</v>
      </c>
      <c r="I78" s="3" t="s">
        <v>948</v>
      </c>
      <c r="J78" s="1" t="s">
        <v>949</v>
      </c>
      <c r="K78" s="3">
        <v>6645502</v>
      </c>
      <c r="L78" s="1" t="s">
        <v>950</v>
      </c>
      <c r="M78" s="1" t="s">
        <v>270</v>
      </c>
      <c r="N78" s="1">
        <v>5000</v>
      </c>
      <c r="O78" s="1" t="s">
        <v>260</v>
      </c>
      <c r="P78" s="1" t="s">
        <v>259</v>
      </c>
      <c r="Q78" s="1" t="s">
        <v>260</v>
      </c>
      <c r="R78" s="1" t="s">
        <v>951</v>
      </c>
      <c r="S78" s="1" t="s">
        <v>952</v>
      </c>
      <c r="T78" s="1">
        <v>8478</v>
      </c>
      <c r="U78" s="1"/>
      <c r="V78" s="1">
        <v>7</v>
      </c>
      <c r="W78" s="1"/>
      <c r="X78" s="1"/>
      <c r="Y78" s="1">
        <v>924000</v>
      </c>
      <c r="Z78" s="1">
        <v>5000</v>
      </c>
    </row>
    <row r="79" spans="1:26" ht="19" x14ac:dyDescent="0.25">
      <c r="A79">
        <v>78</v>
      </c>
      <c r="B79" s="1" t="s">
        <v>29</v>
      </c>
      <c r="C79" s="1" t="s">
        <v>29</v>
      </c>
      <c r="D79" s="2" t="s">
        <v>1002</v>
      </c>
      <c r="E79" s="3">
        <f>IFERROR(INDEX(Hoja1!D:D,MATCH(F79,Hoja1!E:E,0)),"")</f>
        <v>27178419639</v>
      </c>
      <c r="F79" s="1">
        <v>17841963</v>
      </c>
      <c r="G79" s="1" t="s">
        <v>107</v>
      </c>
      <c r="H79" s="3" t="s">
        <v>188</v>
      </c>
      <c r="I79" s="3" t="s">
        <v>957</v>
      </c>
      <c r="J79" s="1" t="s">
        <v>958</v>
      </c>
      <c r="K79" s="3">
        <v>6567338</v>
      </c>
      <c r="L79" s="1" t="s">
        <v>959</v>
      </c>
      <c r="M79" s="1" t="s">
        <v>270</v>
      </c>
      <c r="N79" s="1">
        <v>5000</v>
      </c>
      <c r="O79" s="1" t="s">
        <v>260</v>
      </c>
      <c r="P79" s="1" t="s">
        <v>259</v>
      </c>
      <c r="Q79" s="1" t="s">
        <v>260</v>
      </c>
      <c r="R79" s="1" t="s">
        <v>321</v>
      </c>
      <c r="S79" s="1" t="s">
        <v>960</v>
      </c>
      <c r="T79" s="1">
        <v>1733</v>
      </c>
      <c r="U79" s="1"/>
      <c r="V79" s="1"/>
      <c r="W79" s="1"/>
      <c r="X79" s="1"/>
      <c r="Y79" s="1">
        <v>1380500</v>
      </c>
      <c r="Z79" s="1">
        <v>5000</v>
      </c>
    </row>
    <row r="80" spans="1:26" ht="19" x14ac:dyDescent="0.25">
      <c r="A80">
        <v>79</v>
      </c>
      <c r="B80" s="1" t="s">
        <v>28</v>
      </c>
      <c r="C80" s="1" t="s">
        <v>28</v>
      </c>
      <c r="D80" s="2" t="s">
        <v>1002</v>
      </c>
      <c r="E80" s="3">
        <f>IFERROR(INDEX(Hoja1!D:D,MATCH(F80,Hoja1!E:E,0)),"")</f>
        <v>27364307344</v>
      </c>
      <c r="F80" s="1">
        <v>36430734</v>
      </c>
      <c r="G80" s="1" t="s">
        <v>108</v>
      </c>
      <c r="H80" s="3" t="s">
        <v>189</v>
      </c>
      <c r="I80" s="3" t="s">
        <v>966</v>
      </c>
      <c r="J80" s="1" t="s">
        <v>967</v>
      </c>
      <c r="K80" s="3">
        <v>3517042986</v>
      </c>
      <c r="L80" s="1" t="s">
        <v>968</v>
      </c>
      <c r="M80" s="1" t="s">
        <v>270</v>
      </c>
      <c r="N80" s="1">
        <v>0</v>
      </c>
      <c r="O80" s="1" t="s">
        <v>260</v>
      </c>
      <c r="P80" s="1" t="s">
        <v>259</v>
      </c>
      <c r="Q80" s="1" t="s">
        <v>260</v>
      </c>
      <c r="R80" s="1" t="s">
        <v>969</v>
      </c>
      <c r="S80" s="1" t="s">
        <v>970</v>
      </c>
      <c r="T80" s="1">
        <v>5814</v>
      </c>
      <c r="U80" s="1"/>
      <c r="V80" s="1"/>
      <c r="W80" s="1"/>
      <c r="X80" s="1"/>
      <c r="Y80" s="1">
        <v>808500</v>
      </c>
      <c r="Z80" s="1"/>
    </row>
    <row r="81" spans="1:26" ht="19" x14ac:dyDescent="0.25">
      <c r="A81">
        <v>80</v>
      </c>
      <c r="B81" s="1" t="s">
        <v>28</v>
      </c>
      <c r="C81" s="1" t="s">
        <v>28</v>
      </c>
      <c r="D81" s="2" t="s">
        <v>1002</v>
      </c>
      <c r="E81" s="3">
        <f>IFERROR(INDEX(Hoja1!D:D,MATCH(F81,Hoja1!E:E,0)),"")</f>
        <v>20393059525</v>
      </c>
      <c r="F81" s="1">
        <v>39305952</v>
      </c>
      <c r="G81" s="1" t="s">
        <v>109</v>
      </c>
      <c r="H81" s="3" t="s">
        <v>190</v>
      </c>
      <c r="I81" s="3" t="s">
        <v>974</v>
      </c>
      <c r="J81" s="1" t="s">
        <v>975</v>
      </c>
      <c r="K81" s="3">
        <v>3680263</v>
      </c>
      <c r="L81" s="1" t="s">
        <v>976</v>
      </c>
      <c r="M81" s="1" t="s">
        <v>270</v>
      </c>
      <c r="N81" s="1">
        <v>5000</v>
      </c>
      <c r="O81" s="1" t="s">
        <v>260</v>
      </c>
      <c r="P81" s="1" t="s">
        <v>259</v>
      </c>
      <c r="Q81" s="1" t="s">
        <v>260</v>
      </c>
      <c r="R81" s="1" t="s">
        <v>462</v>
      </c>
      <c r="S81" s="1" t="s">
        <v>977</v>
      </c>
      <c r="T81" s="1">
        <v>828</v>
      </c>
      <c r="U81" s="1"/>
      <c r="V81" s="1"/>
      <c r="W81" s="1"/>
      <c r="X81" s="1"/>
      <c r="Y81" s="1">
        <v>577500</v>
      </c>
      <c r="Z81" s="1">
        <v>5000</v>
      </c>
    </row>
    <row r="82" spans="1:26" ht="19" x14ac:dyDescent="0.25">
      <c r="A82">
        <v>81</v>
      </c>
      <c r="B82" s="1" t="s">
        <v>28</v>
      </c>
      <c r="C82" s="1" t="s">
        <v>28</v>
      </c>
      <c r="D82" s="2" t="s">
        <v>1002</v>
      </c>
      <c r="E82" s="3">
        <f>IFERROR(INDEX(Hoja1!D:D,MATCH(F82,Hoja1!E:E,0)),"")</f>
        <v>20450805670</v>
      </c>
      <c r="F82" s="1">
        <v>45080567</v>
      </c>
      <c r="G82" s="1" t="s">
        <v>110</v>
      </c>
      <c r="H82" s="3" t="s">
        <v>191</v>
      </c>
      <c r="I82" s="3" t="s">
        <v>983</v>
      </c>
      <c r="J82" s="1" t="s">
        <v>984</v>
      </c>
      <c r="K82" s="3">
        <v>2407536</v>
      </c>
      <c r="L82" s="1" t="s">
        <v>985</v>
      </c>
      <c r="M82" s="1" t="s">
        <v>270</v>
      </c>
      <c r="N82" s="1">
        <v>5000</v>
      </c>
      <c r="O82" s="1" t="s">
        <v>260</v>
      </c>
      <c r="P82" s="1" t="s">
        <v>259</v>
      </c>
      <c r="Q82" s="1" t="s">
        <v>260</v>
      </c>
      <c r="R82" s="1" t="s">
        <v>986</v>
      </c>
      <c r="S82" s="1" t="s">
        <v>987</v>
      </c>
      <c r="T82" s="1">
        <v>8659</v>
      </c>
      <c r="U82" s="1"/>
      <c r="V82" s="1"/>
      <c r="W82" s="1"/>
      <c r="X82" s="1"/>
      <c r="Y82" s="1">
        <v>924000</v>
      </c>
      <c r="Z82" s="1">
        <v>5000</v>
      </c>
    </row>
    <row r="83" spans="1:26" ht="19" x14ac:dyDescent="0.25">
      <c r="A83">
        <v>82</v>
      </c>
      <c r="B83" s="1" t="s">
        <v>29</v>
      </c>
      <c r="C83" s="1" t="s">
        <v>29</v>
      </c>
      <c r="D83" s="2" t="s">
        <v>1002</v>
      </c>
      <c r="E83" s="3">
        <f>IFERROR(INDEX(Hoja1!D:D,MATCH(F83,Hoja1!E:E,0)),"")</f>
        <v>20209979935</v>
      </c>
      <c r="F83" s="1">
        <v>20997993</v>
      </c>
      <c r="G83" s="1" t="s">
        <v>111</v>
      </c>
      <c r="H83" s="3" t="s">
        <v>192</v>
      </c>
      <c r="I83" s="3" t="s">
        <v>992</v>
      </c>
      <c r="J83" s="1" t="s">
        <v>993</v>
      </c>
      <c r="K83" s="3">
        <v>6500559</v>
      </c>
      <c r="L83" s="1" t="s">
        <v>994</v>
      </c>
      <c r="M83" s="1" t="s">
        <v>270</v>
      </c>
      <c r="N83" s="1">
        <v>5000</v>
      </c>
      <c r="O83" s="1" t="s">
        <v>260</v>
      </c>
      <c r="P83" s="1" t="s">
        <v>259</v>
      </c>
      <c r="Q83" s="1" t="s">
        <v>260</v>
      </c>
      <c r="R83" s="1" t="s">
        <v>446</v>
      </c>
      <c r="S83" s="1" t="s">
        <v>995</v>
      </c>
      <c r="T83" s="1">
        <v>2968</v>
      </c>
      <c r="U83" s="1"/>
      <c r="V83" s="1"/>
      <c r="W83" s="1"/>
      <c r="X83" s="1"/>
      <c r="Y83" s="1">
        <v>1155000</v>
      </c>
      <c r="Z83" s="1">
        <v>5000</v>
      </c>
    </row>
    <row r="84" spans="1:26" x14ac:dyDescent="0.2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1A767-4B03-5446-BF66-5C05E862E050}">
  <dimension ref="A1:BY83"/>
  <sheetViews>
    <sheetView topLeftCell="V1" workbookViewId="0">
      <selection activeCell="AH3" sqref="AH3:AH83"/>
    </sheetView>
  </sheetViews>
  <sheetFormatPr baseColWidth="10" defaultRowHeight="15" x14ac:dyDescent="0.2"/>
  <cols>
    <col min="4" max="4" width="12.1640625" bestFit="1" customWidth="1"/>
    <col min="6" max="6" width="28.83203125" bestFit="1" customWidth="1"/>
    <col min="14" max="14" width="8.5" customWidth="1"/>
    <col min="15" max="15" width="20.83203125" customWidth="1"/>
  </cols>
  <sheetData>
    <row r="1" spans="1:77" x14ac:dyDescent="0.2">
      <c r="B1" s="1" t="s">
        <v>0</v>
      </c>
      <c r="C1" s="1"/>
      <c r="D1" s="1"/>
      <c r="E1" s="1" t="s">
        <v>193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</row>
    <row r="2" spans="1:77" x14ac:dyDescent="0.2">
      <c r="B2" s="1" t="s">
        <v>194</v>
      </c>
      <c r="C2" s="1" t="s">
        <v>195</v>
      </c>
      <c r="D2" s="1" t="s">
        <v>1</v>
      </c>
      <c r="E2" s="1" t="s">
        <v>2</v>
      </c>
      <c r="F2" s="1" t="s">
        <v>3</v>
      </c>
      <c r="G2" s="1" t="s">
        <v>196</v>
      </c>
      <c r="H2" s="1" t="s">
        <v>197</v>
      </c>
      <c r="I2" s="1" t="s">
        <v>4</v>
      </c>
      <c r="J2" s="1" t="s">
        <v>5</v>
      </c>
      <c r="K2" s="1" t="s">
        <v>6</v>
      </c>
      <c r="L2" s="1" t="s">
        <v>198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12</v>
      </c>
      <c r="S2" s="1" t="s">
        <v>13</v>
      </c>
      <c r="T2" s="1" t="s">
        <v>14</v>
      </c>
      <c r="U2" s="1" t="s">
        <v>15</v>
      </c>
      <c r="V2" s="1" t="s">
        <v>16</v>
      </c>
      <c r="W2" s="1" t="s">
        <v>17</v>
      </c>
      <c r="X2" s="1" t="s">
        <v>199</v>
      </c>
      <c r="Y2" s="1" t="s">
        <v>200</v>
      </c>
      <c r="Z2" s="1" t="s">
        <v>201</v>
      </c>
      <c r="AA2" s="1" t="s">
        <v>202</v>
      </c>
      <c r="AB2" s="1" t="s">
        <v>203</v>
      </c>
      <c r="AC2" s="1" t="s">
        <v>204</v>
      </c>
      <c r="AD2" s="1" t="s">
        <v>205</v>
      </c>
      <c r="AE2" s="1" t="s">
        <v>206</v>
      </c>
      <c r="AF2" s="1" t="s">
        <v>207</v>
      </c>
      <c r="AG2" s="1" t="s">
        <v>208</v>
      </c>
      <c r="AH2" s="1" t="s">
        <v>18</v>
      </c>
      <c r="AI2" s="1" t="s">
        <v>209</v>
      </c>
      <c r="AJ2" s="1" t="s">
        <v>210</v>
      </c>
      <c r="AK2" s="1" t="s">
        <v>211</v>
      </c>
      <c r="AL2" s="1" t="s">
        <v>212</v>
      </c>
      <c r="AM2" s="1" t="s">
        <v>213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218</v>
      </c>
      <c r="AS2" s="1" t="s">
        <v>19</v>
      </c>
      <c r="AT2" s="1" t="s">
        <v>219</v>
      </c>
      <c r="AU2" s="1" t="s">
        <v>220</v>
      </c>
      <c r="AV2" s="1" t="s">
        <v>221</v>
      </c>
      <c r="AW2" s="1" t="s">
        <v>222</v>
      </c>
      <c r="AX2" s="1" t="s">
        <v>223</v>
      </c>
      <c r="AY2" s="1" t="s">
        <v>224</v>
      </c>
      <c r="AZ2" s="1" t="s">
        <v>225</v>
      </c>
      <c r="BA2" s="1" t="s">
        <v>226</v>
      </c>
      <c r="BB2" s="1" t="s">
        <v>227</v>
      </c>
      <c r="BC2" s="1" t="s">
        <v>228</v>
      </c>
      <c r="BD2" s="1" t="s">
        <v>229</v>
      </c>
      <c r="BE2" s="1" t="s">
        <v>230</v>
      </c>
      <c r="BF2" s="1" t="s">
        <v>231</v>
      </c>
      <c r="BG2" s="1" t="s">
        <v>232</v>
      </c>
      <c r="BH2" s="1" t="s">
        <v>233</v>
      </c>
      <c r="BI2" s="1" t="s">
        <v>234</v>
      </c>
      <c r="BJ2" s="1" t="s">
        <v>235</v>
      </c>
      <c r="BK2" s="1" t="s">
        <v>236</v>
      </c>
      <c r="BL2" s="1" t="s">
        <v>237</v>
      </c>
      <c r="BM2" s="1" t="s">
        <v>238</v>
      </c>
      <c r="BN2" s="1" t="s">
        <v>239</v>
      </c>
      <c r="BO2" s="1" t="s">
        <v>240</v>
      </c>
      <c r="BP2" s="1" t="s">
        <v>241</v>
      </c>
      <c r="BQ2" s="1" t="s">
        <v>242</v>
      </c>
      <c r="BR2" s="1" t="s">
        <v>243</v>
      </c>
      <c r="BS2" s="1" t="s">
        <v>244</v>
      </c>
      <c r="BT2" s="1" t="s">
        <v>245</v>
      </c>
      <c r="BU2" s="1" t="s">
        <v>246</v>
      </c>
      <c r="BV2" s="1" t="s">
        <v>247</v>
      </c>
      <c r="BW2" s="1" t="s">
        <v>248</v>
      </c>
      <c r="BX2" s="1" t="s">
        <v>249</v>
      </c>
      <c r="BY2" s="1" t="s">
        <v>250</v>
      </c>
    </row>
    <row r="3" spans="1:77" x14ac:dyDescent="0.2">
      <c r="A3">
        <v>1</v>
      </c>
      <c r="B3" s="1" t="s">
        <v>251</v>
      </c>
      <c r="C3" s="1" t="s">
        <v>252</v>
      </c>
      <c r="D3" s="1">
        <v>23405189534</v>
      </c>
      <c r="E3" s="1">
        <v>40518953</v>
      </c>
      <c r="F3" s="1" t="s">
        <v>253</v>
      </c>
      <c r="G3" s="1" t="s">
        <v>253</v>
      </c>
      <c r="H3" s="1" t="s">
        <v>254</v>
      </c>
      <c r="I3" s="1" t="s">
        <v>112</v>
      </c>
      <c r="J3" s="1" t="s">
        <v>255</v>
      </c>
      <c r="K3" s="1" t="s">
        <v>256</v>
      </c>
      <c r="L3" s="1" t="s">
        <v>257</v>
      </c>
      <c r="M3" s="1">
        <v>2429083</v>
      </c>
      <c r="N3" s="1" t="s">
        <v>258</v>
      </c>
      <c r="O3" s="1" t="s">
        <v>259</v>
      </c>
      <c r="P3" s="1" t="s">
        <v>260</v>
      </c>
      <c r="Q3" s="1" t="s">
        <v>261</v>
      </c>
      <c r="R3" s="1" t="s">
        <v>262</v>
      </c>
      <c r="S3" s="1">
        <v>4045</v>
      </c>
      <c r="T3" s="1"/>
      <c r="U3" s="1"/>
      <c r="V3" s="1"/>
      <c r="W3" s="1"/>
      <c r="X3" s="1">
        <v>1155000</v>
      </c>
      <c r="Y3" s="1">
        <v>6</v>
      </c>
      <c r="Z3" s="1">
        <v>6930000</v>
      </c>
      <c r="AA3" s="1"/>
      <c r="AB3" s="1"/>
      <c r="AC3" s="1" t="s">
        <v>263</v>
      </c>
      <c r="AD3" s="1" t="s">
        <v>264</v>
      </c>
      <c r="AE3" s="1">
        <v>1</v>
      </c>
      <c r="AF3" s="1" t="s">
        <v>265</v>
      </c>
      <c r="AG3" s="1">
        <v>6</v>
      </c>
      <c r="AH3" s="1">
        <v>5000</v>
      </c>
      <c r="AI3" s="1"/>
      <c r="AJ3" s="1" t="s">
        <v>266</v>
      </c>
      <c r="AK3" s="1"/>
      <c r="AL3" s="1" t="s">
        <v>267</v>
      </c>
      <c r="AM3" s="1" t="s">
        <v>268</v>
      </c>
      <c r="AN3" s="1" t="s">
        <v>269</v>
      </c>
      <c r="AO3" s="1">
        <v>38705</v>
      </c>
      <c r="AP3" s="1"/>
      <c r="AQ3" s="1"/>
      <c r="AR3" s="1"/>
      <c r="AS3" s="1" t="s">
        <v>270</v>
      </c>
      <c r="AT3" s="1" t="s">
        <v>268</v>
      </c>
      <c r="AU3" s="1">
        <v>38705</v>
      </c>
      <c r="AV3" s="1" t="s">
        <v>263</v>
      </c>
      <c r="AW3" s="1" t="s">
        <v>264</v>
      </c>
      <c r="AX3" s="1"/>
      <c r="AY3" s="1"/>
      <c r="AZ3" s="1">
        <v>15192</v>
      </c>
      <c r="BA3" s="1" t="s">
        <v>267</v>
      </c>
      <c r="BB3" s="1"/>
      <c r="BC3" s="1">
        <v>118</v>
      </c>
      <c r="BD3" s="1" t="s">
        <v>260</v>
      </c>
      <c r="BE3" s="1" t="s">
        <v>271</v>
      </c>
      <c r="BF3" s="1"/>
      <c r="BG3" s="1">
        <v>11</v>
      </c>
      <c r="BH3" s="1" t="s">
        <v>272</v>
      </c>
      <c r="BI3" s="1">
        <v>17159449</v>
      </c>
      <c r="BJ3" s="1" t="s">
        <v>273</v>
      </c>
      <c r="BK3" s="1" t="s">
        <v>274</v>
      </c>
      <c r="BL3" s="1"/>
      <c r="BM3" s="1">
        <v>247</v>
      </c>
      <c r="BN3" s="1">
        <v>351</v>
      </c>
      <c r="BO3" s="1"/>
      <c r="BP3" s="1" t="s">
        <v>275</v>
      </c>
      <c r="BQ3" s="1" t="s">
        <v>2</v>
      </c>
      <c r="BR3" s="1"/>
      <c r="BS3" s="1">
        <v>4045</v>
      </c>
      <c r="BT3" s="1"/>
      <c r="BU3" s="1"/>
      <c r="BV3" s="1"/>
      <c r="BW3" s="1"/>
      <c r="BX3" s="1"/>
      <c r="BY3" s="1"/>
    </row>
    <row r="4" spans="1:77" x14ac:dyDescent="0.2">
      <c r="A4">
        <v>2</v>
      </c>
      <c r="B4" s="1" t="s">
        <v>251</v>
      </c>
      <c r="C4" s="1" t="s">
        <v>252</v>
      </c>
      <c r="D4" s="1">
        <v>23350900144</v>
      </c>
      <c r="E4" s="1">
        <v>35090014</v>
      </c>
      <c r="F4" s="1" t="s">
        <v>276</v>
      </c>
      <c r="G4" s="1" t="s">
        <v>276</v>
      </c>
      <c r="H4" s="1" t="s">
        <v>277</v>
      </c>
      <c r="I4" s="1" t="s">
        <v>113</v>
      </c>
      <c r="J4" s="1" t="s">
        <v>278</v>
      </c>
      <c r="K4" s="1" t="s">
        <v>279</v>
      </c>
      <c r="L4" s="1" t="s">
        <v>257</v>
      </c>
      <c r="M4" s="1">
        <v>3182163</v>
      </c>
      <c r="N4" s="1" t="s">
        <v>280</v>
      </c>
      <c r="O4" s="1" t="s">
        <v>259</v>
      </c>
      <c r="P4" s="1" t="s">
        <v>260</v>
      </c>
      <c r="Q4" s="1" t="s">
        <v>281</v>
      </c>
      <c r="R4" s="1" t="s">
        <v>282</v>
      </c>
      <c r="S4" s="1" t="s">
        <v>283</v>
      </c>
      <c r="T4" s="1"/>
      <c r="U4" s="1"/>
      <c r="V4" s="1"/>
      <c r="W4" s="1"/>
      <c r="X4" s="1">
        <v>1380500</v>
      </c>
      <c r="Y4" s="1">
        <v>6</v>
      </c>
      <c r="Z4" s="1">
        <v>8283000</v>
      </c>
      <c r="AA4" s="1"/>
      <c r="AB4" s="1"/>
      <c r="AC4" s="1" t="s">
        <v>263</v>
      </c>
      <c r="AD4" s="1" t="s">
        <v>264</v>
      </c>
      <c r="AE4" s="1">
        <v>2</v>
      </c>
      <c r="AF4" s="1" t="s">
        <v>265</v>
      </c>
      <c r="AG4" s="1">
        <v>6</v>
      </c>
      <c r="AH4" s="1">
        <v>5000</v>
      </c>
      <c r="AI4" s="1"/>
      <c r="AJ4" s="1" t="s">
        <v>284</v>
      </c>
      <c r="AK4" s="1"/>
      <c r="AL4" s="1" t="s">
        <v>267</v>
      </c>
      <c r="AM4" s="1" t="s">
        <v>268</v>
      </c>
      <c r="AN4" s="1" t="s">
        <v>269</v>
      </c>
      <c r="AO4" s="1">
        <v>39020</v>
      </c>
      <c r="AP4" s="1"/>
      <c r="AQ4" s="1"/>
      <c r="AR4" s="1"/>
      <c r="AS4" s="1" t="s">
        <v>270</v>
      </c>
      <c r="AT4" s="1" t="s">
        <v>268</v>
      </c>
      <c r="AU4" s="1">
        <v>39020</v>
      </c>
      <c r="AV4" s="1" t="s">
        <v>263</v>
      </c>
      <c r="AW4" s="1" t="s">
        <v>264</v>
      </c>
      <c r="AX4" s="1"/>
      <c r="AY4" s="1"/>
      <c r="AZ4" s="1">
        <v>15193</v>
      </c>
      <c r="BA4" s="1" t="s">
        <v>267</v>
      </c>
      <c r="BB4" s="1"/>
      <c r="BC4" s="1">
        <v>118</v>
      </c>
      <c r="BD4" s="1" t="s">
        <v>260</v>
      </c>
      <c r="BE4" s="1" t="s">
        <v>271</v>
      </c>
      <c r="BF4" s="1"/>
      <c r="BG4" s="1">
        <v>11</v>
      </c>
      <c r="BH4" s="1" t="s">
        <v>272</v>
      </c>
      <c r="BI4" s="1">
        <v>17159449</v>
      </c>
      <c r="BJ4" s="1" t="s">
        <v>273</v>
      </c>
      <c r="BK4" s="1" t="s">
        <v>274</v>
      </c>
      <c r="BL4" s="1"/>
      <c r="BM4" s="1">
        <v>247</v>
      </c>
      <c r="BN4" s="1">
        <v>351</v>
      </c>
      <c r="BO4" s="1"/>
      <c r="BP4" s="1" t="s">
        <v>285</v>
      </c>
      <c r="BQ4" s="1" t="s">
        <v>2</v>
      </c>
      <c r="BR4" s="1"/>
      <c r="BS4" s="1" t="s">
        <v>283</v>
      </c>
      <c r="BT4" s="1"/>
      <c r="BU4" s="1"/>
      <c r="BV4" s="1"/>
      <c r="BW4" s="1"/>
      <c r="BX4" s="1"/>
      <c r="BY4" s="1"/>
    </row>
    <row r="5" spans="1:77" x14ac:dyDescent="0.2">
      <c r="A5">
        <v>3</v>
      </c>
      <c r="B5" s="1" t="s">
        <v>251</v>
      </c>
      <c r="C5" s="1" t="s">
        <v>252</v>
      </c>
      <c r="D5" s="1">
        <v>20207855066</v>
      </c>
      <c r="E5" s="1">
        <v>20785506</v>
      </c>
      <c r="F5" s="1" t="s">
        <v>286</v>
      </c>
      <c r="G5" s="1" t="s">
        <v>286</v>
      </c>
      <c r="H5" s="1" t="s">
        <v>287</v>
      </c>
      <c r="I5" s="1" t="s">
        <v>114</v>
      </c>
      <c r="J5" s="1" t="s">
        <v>288</v>
      </c>
      <c r="K5" s="1" t="s">
        <v>289</v>
      </c>
      <c r="L5" s="1">
        <v>913</v>
      </c>
      <c r="M5" s="1">
        <v>6214091</v>
      </c>
      <c r="N5" s="1" t="s">
        <v>290</v>
      </c>
      <c r="O5" s="1" t="s">
        <v>259</v>
      </c>
      <c r="P5" s="1" t="s">
        <v>260</v>
      </c>
      <c r="Q5" s="1" t="s">
        <v>291</v>
      </c>
      <c r="R5" s="1" t="s">
        <v>292</v>
      </c>
      <c r="S5" s="1">
        <v>1646</v>
      </c>
      <c r="T5" s="1"/>
      <c r="U5" s="1"/>
      <c r="V5" s="1"/>
      <c r="W5" s="1"/>
      <c r="X5" s="1">
        <v>1380500</v>
      </c>
      <c r="Y5" s="1">
        <v>6</v>
      </c>
      <c r="Z5" s="1">
        <v>8283000</v>
      </c>
      <c r="AA5" s="1"/>
      <c r="AB5" s="1"/>
      <c r="AC5" s="1" t="s">
        <v>263</v>
      </c>
      <c r="AD5" s="1" t="s">
        <v>264</v>
      </c>
      <c r="AE5" s="1">
        <v>3</v>
      </c>
      <c r="AF5" s="1" t="s">
        <v>265</v>
      </c>
      <c r="AG5" s="1">
        <v>6</v>
      </c>
      <c r="AH5" s="1">
        <v>5000</v>
      </c>
      <c r="AI5" s="1" t="s">
        <v>293</v>
      </c>
      <c r="AJ5" s="1"/>
      <c r="AK5" s="1"/>
      <c r="AL5" s="1" t="s">
        <v>267</v>
      </c>
      <c r="AM5" s="1" t="s">
        <v>268</v>
      </c>
      <c r="AN5" s="1" t="s">
        <v>269</v>
      </c>
      <c r="AO5" s="1">
        <v>39005</v>
      </c>
      <c r="AP5" s="1"/>
      <c r="AQ5" s="1"/>
      <c r="AR5" s="1"/>
      <c r="AS5" s="1" t="s">
        <v>270</v>
      </c>
      <c r="AT5" s="1" t="s">
        <v>268</v>
      </c>
      <c r="AU5" s="1">
        <v>39005</v>
      </c>
      <c r="AV5" s="1" t="s">
        <v>263</v>
      </c>
      <c r="AW5" s="1" t="s">
        <v>264</v>
      </c>
      <c r="AX5" s="1"/>
      <c r="AY5" s="1"/>
      <c r="AZ5" s="1">
        <v>27394</v>
      </c>
      <c r="BA5" s="1" t="s">
        <v>294</v>
      </c>
      <c r="BB5" s="1"/>
      <c r="BC5" s="1">
        <v>118</v>
      </c>
      <c r="BD5" s="1" t="s">
        <v>260</v>
      </c>
      <c r="BE5" s="1" t="s">
        <v>271</v>
      </c>
      <c r="BF5" s="1"/>
      <c r="BG5" s="1">
        <v>11</v>
      </c>
      <c r="BH5" s="1" t="s">
        <v>272</v>
      </c>
      <c r="BI5" s="1">
        <v>17159449</v>
      </c>
      <c r="BJ5" s="1" t="s">
        <v>273</v>
      </c>
      <c r="BK5" s="1" t="s">
        <v>295</v>
      </c>
      <c r="BL5" s="1"/>
      <c r="BM5" s="1"/>
      <c r="BN5" s="1">
        <v>351</v>
      </c>
      <c r="BO5" s="1"/>
      <c r="BP5" s="1" t="s">
        <v>296</v>
      </c>
      <c r="BQ5" s="1" t="s">
        <v>2</v>
      </c>
      <c r="BR5" s="1"/>
      <c r="BS5" s="1">
        <v>1646</v>
      </c>
      <c r="BT5" s="1"/>
      <c r="BU5" s="1"/>
      <c r="BV5" s="1"/>
      <c r="BW5" s="1"/>
      <c r="BX5" s="1"/>
      <c r="BY5" s="1"/>
    </row>
    <row r="6" spans="1:77" x14ac:dyDescent="0.2">
      <c r="A6">
        <v>4</v>
      </c>
      <c r="B6" s="1" t="s">
        <v>251</v>
      </c>
      <c r="C6" s="1" t="s">
        <v>252</v>
      </c>
      <c r="D6" s="1">
        <v>27439285724</v>
      </c>
      <c r="E6" s="1">
        <v>43928572</v>
      </c>
      <c r="F6" s="1" t="s">
        <v>297</v>
      </c>
      <c r="G6" s="1" t="s">
        <v>297</v>
      </c>
      <c r="H6" s="1" t="s">
        <v>298</v>
      </c>
      <c r="I6" s="1" t="s">
        <v>115</v>
      </c>
      <c r="J6" s="1" t="s">
        <v>299</v>
      </c>
      <c r="K6" s="1" t="s">
        <v>300</v>
      </c>
      <c r="L6" s="1" t="s">
        <v>257</v>
      </c>
      <c r="M6" s="1">
        <v>326081</v>
      </c>
      <c r="N6" s="1" t="s">
        <v>301</v>
      </c>
      <c r="O6" s="1" t="s">
        <v>260</v>
      </c>
      <c r="P6" s="1" t="s">
        <v>259</v>
      </c>
      <c r="Q6" s="1" t="s">
        <v>302</v>
      </c>
      <c r="R6" s="1" t="s">
        <v>303</v>
      </c>
      <c r="S6" s="1">
        <v>208</v>
      </c>
      <c r="T6" s="1"/>
      <c r="U6" s="1"/>
      <c r="V6" s="1"/>
      <c r="W6" s="1"/>
      <c r="X6" s="1">
        <v>924000</v>
      </c>
      <c r="Y6" s="1">
        <v>6</v>
      </c>
      <c r="Z6" s="1">
        <v>5544000</v>
      </c>
      <c r="AA6" s="1"/>
      <c r="AB6" s="1"/>
      <c r="AC6" s="1" t="s">
        <v>263</v>
      </c>
      <c r="AD6" s="1" t="s">
        <v>264</v>
      </c>
      <c r="AE6" s="1">
        <v>4</v>
      </c>
      <c r="AF6" s="1" t="s">
        <v>265</v>
      </c>
      <c r="AG6" s="1">
        <v>6</v>
      </c>
      <c r="AH6" s="1">
        <v>5000</v>
      </c>
      <c r="AI6" s="1"/>
      <c r="AJ6" s="1" t="s">
        <v>304</v>
      </c>
      <c r="AK6" s="1"/>
      <c r="AL6" s="1" t="s">
        <v>267</v>
      </c>
      <c r="AM6" s="1" t="s">
        <v>268</v>
      </c>
      <c r="AN6" s="1" t="s">
        <v>269</v>
      </c>
      <c r="AO6" s="1">
        <v>38691</v>
      </c>
      <c r="AP6" s="1"/>
      <c r="AQ6" s="1"/>
      <c r="AR6" s="1"/>
      <c r="AS6" s="1" t="s">
        <v>270</v>
      </c>
      <c r="AT6" s="1" t="s">
        <v>268</v>
      </c>
      <c r="AU6" s="1">
        <v>38691</v>
      </c>
      <c r="AV6" s="1" t="s">
        <v>263</v>
      </c>
      <c r="AW6" s="1" t="s">
        <v>264</v>
      </c>
      <c r="AX6" s="1"/>
      <c r="AY6" s="1"/>
      <c r="AZ6" s="1">
        <v>14972</v>
      </c>
      <c r="BA6" s="1" t="s">
        <v>267</v>
      </c>
      <c r="BB6" s="1"/>
      <c r="BC6" s="1">
        <v>118</v>
      </c>
      <c r="BD6" s="1" t="s">
        <v>260</v>
      </c>
      <c r="BE6" s="1" t="s">
        <v>271</v>
      </c>
      <c r="BF6" s="1"/>
      <c r="BG6" s="1">
        <v>11</v>
      </c>
      <c r="BH6" s="1" t="s">
        <v>272</v>
      </c>
      <c r="BI6" s="1">
        <v>17159449</v>
      </c>
      <c r="BJ6" s="1" t="s">
        <v>273</v>
      </c>
      <c r="BK6" s="1" t="s">
        <v>274</v>
      </c>
      <c r="BL6" s="1"/>
      <c r="BM6" s="1">
        <v>247</v>
      </c>
      <c r="BN6" s="1">
        <v>3571</v>
      </c>
      <c r="BO6" s="1"/>
      <c r="BP6" s="1" t="s">
        <v>305</v>
      </c>
      <c r="BQ6" s="1" t="s">
        <v>2</v>
      </c>
      <c r="BR6" s="1"/>
      <c r="BS6" s="1">
        <v>208</v>
      </c>
      <c r="BT6" s="1"/>
      <c r="BU6" s="1"/>
      <c r="BV6" s="1"/>
      <c r="BW6" s="1"/>
      <c r="BX6" s="1"/>
      <c r="BY6" s="1"/>
    </row>
    <row r="7" spans="1:77" x14ac:dyDescent="0.2">
      <c r="A7">
        <v>5</v>
      </c>
      <c r="B7" s="1" t="s">
        <v>251</v>
      </c>
      <c r="C7" s="1" t="s">
        <v>252</v>
      </c>
      <c r="D7" s="1">
        <v>27170717983</v>
      </c>
      <c r="E7" s="1">
        <v>17071798</v>
      </c>
      <c r="F7" s="1" t="s">
        <v>306</v>
      </c>
      <c r="G7" s="1" t="s">
        <v>306</v>
      </c>
      <c r="H7" s="1" t="s">
        <v>307</v>
      </c>
      <c r="I7" s="1" t="s">
        <v>116</v>
      </c>
      <c r="J7" s="1" t="s">
        <v>308</v>
      </c>
      <c r="K7" s="1" t="s">
        <v>309</v>
      </c>
      <c r="L7" s="1" t="s">
        <v>257</v>
      </c>
      <c r="M7" s="1">
        <v>6789000</v>
      </c>
      <c r="N7" s="1" t="s">
        <v>310</v>
      </c>
      <c r="O7" s="1" t="s">
        <v>259</v>
      </c>
      <c r="P7" s="1" t="s">
        <v>260</v>
      </c>
      <c r="Q7" s="1" t="s">
        <v>311</v>
      </c>
      <c r="R7" s="1" t="s">
        <v>312</v>
      </c>
      <c r="S7" s="1">
        <v>808</v>
      </c>
      <c r="T7" s="1"/>
      <c r="U7" s="1"/>
      <c r="V7" s="1"/>
      <c r="W7" s="1"/>
      <c r="X7" s="1">
        <v>693000</v>
      </c>
      <c r="Y7" s="1">
        <v>6</v>
      </c>
      <c r="Z7" s="1">
        <v>4158000</v>
      </c>
      <c r="AA7" s="1"/>
      <c r="AB7" s="1"/>
      <c r="AC7" s="1" t="s">
        <v>263</v>
      </c>
      <c r="AD7" s="1" t="s">
        <v>264</v>
      </c>
      <c r="AE7" s="1">
        <v>5</v>
      </c>
      <c r="AF7" s="1" t="s">
        <v>265</v>
      </c>
      <c r="AG7" s="1">
        <v>6</v>
      </c>
      <c r="AH7" s="1">
        <v>5000</v>
      </c>
      <c r="AI7" s="1" t="s">
        <v>313</v>
      </c>
      <c r="AJ7" s="1"/>
      <c r="AK7" s="1"/>
      <c r="AL7" s="1" t="s">
        <v>267</v>
      </c>
      <c r="AM7" s="1" t="s">
        <v>268</v>
      </c>
      <c r="AN7" s="1" t="s">
        <v>314</v>
      </c>
      <c r="AO7" s="1">
        <v>37858</v>
      </c>
      <c r="AP7" s="1"/>
      <c r="AQ7" s="1"/>
      <c r="AR7" s="1"/>
      <c r="AS7" s="1" t="s">
        <v>270</v>
      </c>
      <c r="AT7" s="1" t="s">
        <v>268</v>
      </c>
      <c r="AU7" s="1">
        <v>37858</v>
      </c>
      <c r="AV7" s="1" t="s">
        <v>263</v>
      </c>
      <c r="AW7" s="1" t="s">
        <v>264</v>
      </c>
      <c r="AX7" s="1"/>
      <c r="AY7" s="1"/>
      <c r="AZ7" s="1">
        <v>25688</v>
      </c>
      <c r="BA7" s="1" t="s">
        <v>294</v>
      </c>
      <c r="BB7" s="1"/>
      <c r="BC7" s="1">
        <v>118</v>
      </c>
      <c r="BD7" s="1" t="s">
        <v>260</v>
      </c>
      <c r="BE7" s="1" t="s">
        <v>271</v>
      </c>
      <c r="BF7" s="1"/>
      <c r="BG7" s="1">
        <v>11</v>
      </c>
      <c r="BH7" s="1" t="s">
        <v>272</v>
      </c>
      <c r="BI7" s="1">
        <v>17159449</v>
      </c>
      <c r="BJ7" s="1" t="s">
        <v>273</v>
      </c>
      <c r="BK7" s="1" t="s">
        <v>274</v>
      </c>
      <c r="BL7" s="1"/>
      <c r="BM7" s="1"/>
      <c r="BN7" s="1">
        <v>351</v>
      </c>
      <c r="BO7" s="1"/>
      <c r="BP7" s="1" t="s">
        <v>315</v>
      </c>
      <c r="BQ7" s="1" t="s">
        <v>2</v>
      </c>
      <c r="BR7" s="1"/>
      <c r="BS7" s="1">
        <v>808</v>
      </c>
      <c r="BT7" s="1"/>
      <c r="BU7" s="1"/>
      <c r="BV7" s="1"/>
      <c r="BW7" s="1"/>
      <c r="BX7" s="1"/>
      <c r="BY7" s="1"/>
    </row>
    <row r="8" spans="1:77" x14ac:dyDescent="0.2">
      <c r="A8">
        <v>6</v>
      </c>
      <c r="B8" s="1" t="s">
        <v>251</v>
      </c>
      <c r="C8" s="1" t="s">
        <v>252</v>
      </c>
      <c r="D8" s="1">
        <v>27397365803</v>
      </c>
      <c r="E8" s="1">
        <v>39736580</v>
      </c>
      <c r="F8" s="1" t="s">
        <v>316</v>
      </c>
      <c r="G8" s="1" t="s">
        <v>316</v>
      </c>
      <c r="H8" s="1" t="s">
        <v>317</v>
      </c>
      <c r="I8" s="1" t="s">
        <v>117</v>
      </c>
      <c r="J8" s="1" t="s">
        <v>318</v>
      </c>
      <c r="K8" s="1" t="s">
        <v>319</v>
      </c>
      <c r="L8" s="1" t="s">
        <v>257</v>
      </c>
      <c r="M8" s="1">
        <v>3536447</v>
      </c>
      <c r="N8" s="1" t="s">
        <v>320</v>
      </c>
      <c r="O8" s="1" t="s">
        <v>259</v>
      </c>
      <c r="P8" s="1" t="s">
        <v>260</v>
      </c>
      <c r="Q8" s="1" t="s">
        <v>321</v>
      </c>
      <c r="R8" s="1" t="s">
        <v>322</v>
      </c>
      <c r="S8" s="1">
        <v>436</v>
      </c>
      <c r="T8" s="1" t="s">
        <v>323</v>
      </c>
      <c r="U8" s="1">
        <v>436</v>
      </c>
      <c r="V8" s="1"/>
      <c r="W8" s="1"/>
      <c r="X8" s="1">
        <v>1380500</v>
      </c>
      <c r="Y8" s="1">
        <v>6</v>
      </c>
      <c r="Z8" s="1">
        <v>8283000</v>
      </c>
      <c r="AA8" s="1"/>
      <c r="AB8" s="1"/>
      <c r="AC8" s="1" t="s">
        <v>263</v>
      </c>
      <c r="AD8" s="1" t="s">
        <v>264</v>
      </c>
      <c r="AE8" s="1">
        <v>6</v>
      </c>
      <c r="AF8" s="1" t="s">
        <v>265</v>
      </c>
      <c r="AG8" s="1">
        <v>6</v>
      </c>
      <c r="AH8" s="1">
        <v>5000</v>
      </c>
      <c r="AI8" s="1"/>
      <c r="AJ8" s="1" t="s">
        <v>324</v>
      </c>
      <c r="AK8" s="1"/>
      <c r="AL8" s="1" t="s">
        <v>267</v>
      </c>
      <c r="AM8" s="1" t="s">
        <v>268</v>
      </c>
      <c r="AN8" s="1" t="s">
        <v>269</v>
      </c>
      <c r="AO8" s="1">
        <v>37310</v>
      </c>
      <c r="AP8" s="1"/>
      <c r="AQ8" s="1"/>
      <c r="AR8" s="1"/>
      <c r="AS8" s="1" t="s">
        <v>270</v>
      </c>
      <c r="AT8" s="1" t="s">
        <v>268</v>
      </c>
      <c r="AU8" s="1">
        <v>37310</v>
      </c>
      <c r="AV8" s="1" t="s">
        <v>263</v>
      </c>
      <c r="AW8" s="1" t="s">
        <v>264</v>
      </c>
      <c r="AX8" s="1"/>
      <c r="AY8" s="1"/>
      <c r="AZ8" s="1">
        <v>15195</v>
      </c>
      <c r="BA8" s="1" t="s">
        <v>267</v>
      </c>
      <c r="BB8" s="1"/>
      <c r="BC8" s="1">
        <v>118</v>
      </c>
      <c r="BD8" s="1" t="s">
        <v>260</v>
      </c>
      <c r="BE8" s="1" t="s">
        <v>271</v>
      </c>
      <c r="BF8" s="1"/>
      <c r="BG8" s="1">
        <v>11</v>
      </c>
      <c r="BH8" s="1" t="s">
        <v>272</v>
      </c>
      <c r="BI8" s="1">
        <v>17159449</v>
      </c>
      <c r="BJ8" s="1" t="s">
        <v>273</v>
      </c>
      <c r="BK8" s="1" t="s">
        <v>274</v>
      </c>
      <c r="BL8" s="1"/>
      <c r="BM8" s="1">
        <v>247</v>
      </c>
      <c r="BN8" s="1">
        <v>351</v>
      </c>
      <c r="BO8" s="1"/>
      <c r="BP8" s="1" t="s">
        <v>325</v>
      </c>
      <c r="BQ8" s="1" t="s">
        <v>2</v>
      </c>
      <c r="BR8" s="1"/>
      <c r="BS8" s="1">
        <v>436</v>
      </c>
      <c r="BT8" s="1"/>
      <c r="BU8" s="1"/>
      <c r="BV8" s="1"/>
      <c r="BW8" s="1"/>
      <c r="BX8" s="1"/>
      <c r="BY8" s="1"/>
    </row>
    <row r="9" spans="1:77" x14ac:dyDescent="0.2">
      <c r="A9">
        <v>7</v>
      </c>
      <c r="B9" s="1" t="s">
        <v>251</v>
      </c>
      <c r="C9" s="1" t="s">
        <v>252</v>
      </c>
      <c r="D9" s="1">
        <v>20427831664</v>
      </c>
      <c r="E9" s="1">
        <v>42783166</v>
      </c>
      <c r="F9" s="1" t="s">
        <v>326</v>
      </c>
      <c r="G9" s="1" t="s">
        <v>326</v>
      </c>
      <c r="H9" s="1" t="s">
        <v>327</v>
      </c>
      <c r="I9" s="1" t="s">
        <v>118</v>
      </c>
      <c r="J9" s="1" t="s">
        <v>328</v>
      </c>
      <c r="K9" s="1" t="s">
        <v>329</v>
      </c>
      <c r="L9" s="1" t="s">
        <v>257</v>
      </c>
      <c r="M9" s="1">
        <v>7666822</v>
      </c>
      <c r="N9" s="1" t="s">
        <v>330</v>
      </c>
      <c r="O9" s="1" t="s">
        <v>331</v>
      </c>
      <c r="P9" s="1" t="s">
        <v>332</v>
      </c>
      <c r="Q9" s="1" t="s">
        <v>333</v>
      </c>
      <c r="R9" s="1" t="s">
        <v>334</v>
      </c>
      <c r="S9" s="1" t="s">
        <v>335</v>
      </c>
      <c r="T9" s="1"/>
      <c r="U9" s="1"/>
      <c r="V9" s="1">
        <v>3</v>
      </c>
      <c r="W9" s="1">
        <v>6</v>
      </c>
      <c r="X9" s="1">
        <v>924000</v>
      </c>
      <c r="Y9" s="1">
        <v>6</v>
      </c>
      <c r="Z9" s="1">
        <v>5544000</v>
      </c>
      <c r="AA9" s="1"/>
      <c r="AB9" s="1"/>
      <c r="AC9" s="1" t="s">
        <v>263</v>
      </c>
      <c r="AD9" s="1" t="s">
        <v>264</v>
      </c>
      <c r="AE9" s="1">
        <v>7</v>
      </c>
      <c r="AF9" s="1" t="s">
        <v>265</v>
      </c>
      <c r="AG9" s="1">
        <v>6</v>
      </c>
      <c r="AH9" s="1">
        <v>5000</v>
      </c>
      <c r="AI9" s="1"/>
      <c r="AJ9" s="1" t="s">
        <v>336</v>
      </c>
      <c r="AK9" s="1"/>
      <c r="AL9" s="1" t="s">
        <v>267</v>
      </c>
      <c r="AM9" s="1" t="s">
        <v>268</v>
      </c>
      <c r="AN9" s="1" t="s">
        <v>269</v>
      </c>
      <c r="AO9" s="1">
        <v>37331</v>
      </c>
      <c r="AP9" s="1"/>
      <c r="AQ9" s="1"/>
      <c r="AR9" s="1"/>
      <c r="AS9" s="1" t="s">
        <v>270</v>
      </c>
      <c r="AT9" s="1" t="s">
        <v>268</v>
      </c>
      <c r="AU9" s="1">
        <v>37331</v>
      </c>
      <c r="AV9" s="1" t="s">
        <v>263</v>
      </c>
      <c r="AW9" s="1" t="s">
        <v>264</v>
      </c>
      <c r="AX9" s="1"/>
      <c r="AY9" s="1"/>
      <c r="AZ9" s="1">
        <v>15196</v>
      </c>
      <c r="BA9" s="1" t="s">
        <v>267</v>
      </c>
      <c r="BB9" s="1"/>
      <c r="BC9" s="1">
        <v>118</v>
      </c>
      <c r="BD9" s="1" t="s">
        <v>260</v>
      </c>
      <c r="BE9" s="1" t="s">
        <v>271</v>
      </c>
      <c r="BF9" s="1"/>
      <c r="BG9" s="1">
        <v>11</v>
      </c>
      <c r="BH9" s="1" t="s">
        <v>272</v>
      </c>
      <c r="BI9" s="1">
        <v>17159449</v>
      </c>
      <c r="BJ9" s="1" t="s">
        <v>273</v>
      </c>
      <c r="BK9" s="1" t="s">
        <v>295</v>
      </c>
      <c r="BL9" s="1"/>
      <c r="BM9" s="1">
        <v>247</v>
      </c>
      <c r="BN9" s="1">
        <v>351</v>
      </c>
      <c r="BO9" s="1"/>
      <c r="BP9" s="1" t="s">
        <v>337</v>
      </c>
      <c r="BQ9" s="1" t="s">
        <v>2</v>
      </c>
      <c r="BR9" s="1"/>
      <c r="BS9" s="1" t="s">
        <v>335</v>
      </c>
      <c r="BT9" s="1"/>
      <c r="BU9" s="1"/>
      <c r="BV9" s="1"/>
      <c r="BW9" s="1"/>
      <c r="BX9" s="1"/>
      <c r="BY9" s="1"/>
    </row>
    <row r="10" spans="1:77" x14ac:dyDescent="0.2">
      <c r="A10">
        <v>8</v>
      </c>
      <c r="B10" s="1" t="s">
        <v>251</v>
      </c>
      <c r="C10" s="1" t="s">
        <v>252</v>
      </c>
      <c r="D10" s="1">
        <v>20167415645</v>
      </c>
      <c r="E10" s="1">
        <v>16741564</v>
      </c>
      <c r="F10" s="1" t="s">
        <v>338</v>
      </c>
      <c r="G10" s="1" t="s">
        <v>338</v>
      </c>
      <c r="H10" s="1" t="s">
        <v>339</v>
      </c>
      <c r="I10" s="1" t="s">
        <v>119</v>
      </c>
      <c r="J10" s="1" t="s">
        <v>340</v>
      </c>
      <c r="K10" s="1" t="s">
        <v>341</v>
      </c>
      <c r="L10" s="1" t="s">
        <v>257</v>
      </c>
      <c r="M10" s="1">
        <v>5162811</v>
      </c>
      <c r="N10" s="1" t="s">
        <v>342</v>
      </c>
      <c r="O10" s="1" t="s">
        <v>343</v>
      </c>
      <c r="P10" s="1" t="s">
        <v>260</v>
      </c>
      <c r="Q10" s="1" t="s">
        <v>344</v>
      </c>
      <c r="R10" s="1" t="s">
        <v>345</v>
      </c>
      <c r="S10" s="1">
        <v>50</v>
      </c>
      <c r="T10" s="1">
        <v>9</v>
      </c>
      <c r="U10" s="1" t="s">
        <v>346</v>
      </c>
      <c r="V10" s="1"/>
      <c r="W10" s="1"/>
      <c r="X10" s="1">
        <v>1380500</v>
      </c>
      <c r="Y10" s="1">
        <v>6</v>
      </c>
      <c r="Z10" s="1">
        <v>8283000</v>
      </c>
      <c r="AA10" s="1"/>
      <c r="AB10" s="1"/>
      <c r="AC10" s="1" t="s">
        <v>263</v>
      </c>
      <c r="AD10" s="1" t="s">
        <v>264</v>
      </c>
      <c r="AE10" s="1">
        <v>8</v>
      </c>
      <c r="AF10" s="1" t="s">
        <v>265</v>
      </c>
      <c r="AG10" s="1">
        <v>6</v>
      </c>
      <c r="AH10" s="1">
        <v>5000</v>
      </c>
      <c r="AI10" s="1"/>
      <c r="AJ10" s="1" t="s">
        <v>347</v>
      </c>
      <c r="AK10" s="1"/>
      <c r="AL10" s="1" t="s">
        <v>267</v>
      </c>
      <c r="AM10" s="1" t="s">
        <v>268</v>
      </c>
      <c r="AN10" s="1" t="s">
        <v>269</v>
      </c>
      <c r="AO10" s="1">
        <v>39016</v>
      </c>
      <c r="AP10" s="1"/>
      <c r="AQ10" s="1"/>
      <c r="AR10" s="1"/>
      <c r="AS10" s="1" t="s">
        <v>270</v>
      </c>
      <c r="AT10" s="1" t="s">
        <v>268</v>
      </c>
      <c r="AU10" s="1">
        <v>39016</v>
      </c>
      <c r="AV10" s="1" t="s">
        <v>263</v>
      </c>
      <c r="AW10" s="1" t="s">
        <v>264</v>
      </c>
      <c r="AX10" s="1"/>
      <c r="AY10" s="1"/>
      <c r="AZ10" s="1">
        <v>15197</v>
      </c>
      <c r="BA10" s="1" t="s">
        <v>267</v>
      </c>
      <c r="BB10" s="1"/>
      <c r="BC10" s="1">
        <v>118</v>
      </c>
      <c r="BD10" s="1" t="s">
        <v>260</v>
      </c>
      <c r="BE10" s="1" t="s">
        <v>271</v>
      </c>
      <c r="BF10" s="1"/>
      <c r="BG10" s="1">
        <v>11</v>
      </c>
      <c r="BH10" s="1" t="s">
        <v>272</v>
      </c>
      <c r="BI10" s="1">
        <v>17159449</v>
      </c>
      <c r="BJ10" s="1" t="s">
        <v>273</v>
      </c>
      <c r="BK10" s="1" t="s">
        <v>295</v>
      </c>
      <c r="BL10" s="1"/>
      <c r="BM10" s="1">
        <v>247</v>
      </c>
      <c r="BN10" s="1">
        <v>351</v>
      </c>
      <c r="BO10" s="1"/>
      <c r="BP10" s="1" t="s">
        <v>348</v>
      </c>
      <c r="BQ10" s="1" t="s">
        <v>2</v>
      </c>
      <c r="BR10" s="1"/>
      <c r="BS10" s="1">
        <v>50</v>
      </c>
      <c r="BT10" s="1"/>
      <c r="BU10" s="1"/>
      <c r="BV10" s="1"/>
      <c r="BW10" s="1"/>
      <c r="BX10" s="1"/>
      <c r="BY10" s="1"/>
    </row>
    <row r="11" spans="1:77" x14ac:dyDescent="0.2">
      <c r="A11">
        <v>9</v>
      </c>
      <c r="B11" s="1" t="s">
        <v>251</v>
      </c>
      <c r="C11" s="1" t="s">
        <v>252</v>
      </c>
      <c r="D11" s="1">
        <v>20356746776</v>
      </c>
      <c r="E11" s="1">
        <v>35674677</v>
      </c>
      <c r="F11" s="1" t="s">
        <v>349</v>
      </c>
      <c r="G11" s="1" t="s">
        <v>349</v>
      </c>
      <c r="H11" s="1" t="s">
        <v>350</v>
      </c>
      <c r="I11" s="1" t="s">
        <v>120</v>
      </c>
      <c r="J11" s="1" t="s">
        <v>351</v>
      </c>
      <c r="K11" s="1" t="s">
        <v>352</v>
      </c>
      <c r="L11" s="1" t="s">
        <v>257</v>
      </c>
      <c r="M11" s="1">
        <v>4204715</v>
      </c>
      <c r="N11" s="1" t="s">
        <v>353</v>
      </c>
      <c r="O11" s="1" t="s">
        <v>259</v>
      </c>
      <c r="P11" s="1" t="s">
        <v>260</v>
      </c>
      <c r="Q11" s="1" t="s">
        <v>302</v>
      </c>
      <c r="R11" s="1" t="s">
        <v>354</v>
      </c>
      <c r="S11" s="1">
        <v>445</v>
      </c>
      <c r="T11" s="1"/>
      <c r="U11" s="1"/>
      <c r="V11" s="1"/>
      <c r="W11" s="1"/>
      <c r="X11" s="1">
        <v>1380500</v>
      </c>
      <c r="Y11" s="1">
        <v>6</v>
      </c>
      <c r="Z11" s="1">
        <v>8283000</v>
      </c>
      <c r="AA11" s="1"/>
      <c r="AB11" s="1"/>
      <c r="AC11" s="1" t="s">
        <v>263</v>
      </c>
      <c r="AD11" s="1" t="s">
        <v>264</v>
      </c>
      <c r="AE11" s="1">
        <v>9</v>
      </c>
      <c r="AF11" s="1" t="s">
        <v>265</v>
      </c>
      <c r="AG11" s="1">
        <v>6</v>
      </c>
      <c r="AH11" s="1">
        <v>5000</v>
      </c>
      <c r="AI11" s="1"/>
      <c r="AJ11" s="1" t="s">
        <v>355</v>
      </c>
      <c r="AK11" s="1"/>
      <c r="AL11" s="1" t="s">
        <v>267</v>
      </c>
      <c r="AM11" s="1" t="s">
        <v>268</v>
      </c>
      <c r="AN11" s="1" t="s">
        <v>269</v>
      </c>
      <c r="AO11" s="1">
        <v>39018</v>
      </c>
      <c r="AP11" s="1"/>
      <c r="AQ11" s="1"/>
      <c r="AR11" s="1"/>
      <c r="AS11" s="1" t="s">
        <v>270</v>
      </c>
      <c r="AT11" s="1" t="s">
        <v>268</v>
      </c>
      <c r="AU11" s="1">
        <v>39018</v>
      </c>
      <c r="AV11" s="1" t="s">
        <v>263</v>
      </c>
      <c r="AW11" s="1" t="s">
        <v>264</v>
      </c>
      <c r="AX11" s="1"/>
      <c r="AY11" s="1"/>
      <c r="AZ11" s="1">
        <v>14986</v>
      </c>
      <c r="BA11" s="1" t="s">
        <v>267</v>
      </c>
      <c r="BB11" s="1"/>
      <c r="BC11" s="1">
        <v>118</v>
      </c>
      <c r="BD11" s="1" t="s">
        <v>260</v>
      </c>
      <c r="BE11" s="1" t="s">
        <v>271</v>
      </c>
      <c r="BF11" s="1"/>
      <c r="BG11" s="1">
        <v>11</v>
      </c>
      <c r="BH11" s="1" t="s">
        <v>272</v>
      </c>
      <c r="BI11" s="1">
        <v>17159449</v>
      </c>
      <c r="BJ11" s="1" t="s">
        <v>273</v>
      </c>
      <c r="BK11" s="1" t="s">
        <v>295</v>
      </c>
      <c r="BL11" s="1"/>
      <c r="BM11" s="1">
        <v>247</v>
      </c>
      <c r="BN11" s="1">
        <v>353</v>
      </c>
      <c r="BO11" s="1"/>
      <c r="BP11" s="1" t="s">
        <v>356</v>
      </c>
      <c r="BQ11" s="1" t="s">
        <v>2</v>
      </c>
      <c r="BR11" s="1"/>
      <c r="BS11" s="1">
        <v>445</v>
      </c>
      <c r="BT11" s="1"/>
      <c r="BU11" s="1"/>
      <c r="BV11" s="1"/>
      <c r="BW11" s="1"/>
      <c r="BX11" s="1"/>
      <c r="BY11" s="1"/>
    </row>
    <row r="12" spans="1:77" x14ac:dyDescent="0.2">
      <c r="A12">
        <v>10</v>
      </c>
      <c r="B12" s="1" t="s">
        <v>251</v>
      </c>
      <c r="C12" s="1" t="s">
        <v>252</v>
      </c>
      <c r="D12" s="1">
        <v>27438798957</v>
      </c>
      <c r="E12" s="1">
        <v>43879895</v>
      </c>
      <c r="F12" s="1" t="s">
        <v>357</v>
      </c>
      <c r="G12" s="1" t="s">
        <v>357</v>
      </c>
      <c r="H12" s="1" t="s">
        <v>358</v>
      </c>
      <c r="I12" s="1" t="s">
        <v>121</v>
      </c>
      <c r="J12" s="1" t="s">
        <v>359</v>
      </c>
      <c r="K12" s="1" t="s">
        <v>360</v>
      </c>
      <c r="L12" s="1" t="s">
        <v>257</v>
      </c>
      <c r="M12" s="1">
        <v>566034</v>
      </c>
      <c r="N12" s="1" t="s">
        <v>361</v>
      </c>
      <c r="O12" s="1" t="s">
        <v>362</v>
      </c>
      <c r="P12" s="1" t="s">
        <v>362</v>
      </c>
      <c r="Q12" s="1" t="s">
        <v>344</v>
      </c>
      <c r="R12" s="1" t="s">
        <v>363</v>
      </c>
      <c r="S12" s="1">
        <v>1306</v>
      </c>
      <c r="T12" s="1">
        <v>2</v>
      </c>
      <c r="U12" s="1" t="s">
        <v>268</v>
      </c>
      <c r="V12" s="1"/>
      <c r="W12" s="1"/>
      <c r="X12" s="1">
        <v>1380500</v>
      </c>
      <c r="Y12" s="1">
        <v>6</v>
      </c>
      <c r="Z12" s="1">
        <v>8283000</v>
      </c>
      <c r="AA12" s="1"/>
      <c r="AB12" s="1"/>
      <c r="AC12" s="1" t="s">
        <v>263</v>
      </c>
      <c r="AD12" s="1" t="s">
        <v>264</v>
      </c>
      <c r="AE12" s="1">
        <v>10</v>
      </c>
      <c r="AF12" s="1" t="s">
        <v>265</v>
      </c>
      <c r="AG12" s="1">
        <v>6</v>
      </c>
      <c r="AH12" s="1">
        <v>5000</v>
      </c>
      <c r="AI12" s="1"/>
      <c r="AJ12" s="1" t="s">
        <v>364</v>
      </c>
      <c r="AK12" s="1"/>
      <c r="AL12" s="1" t="s">
        <v>267</v>
      </c>
      <c r="AM12" s="1" t="s">
        <v>268</v>
      </c>
      <c r="AN12" s="1" t="s">
        <v>269</v>
      </c>
      <c r="AO12" s="1">
        <v>38431</v>
      </c>
      <c r="AP12" s="1"/>
      <c r="AQ12" s="1"/>
      <c r="AR12" s="1"/>
      <c r="AS12" s="1" t="s">
        <v>270</v>
      </c>
      <c r="AT12" s="1" t="s">
        <v>268</v>
      </c>
      <c r="AU12" s="1">
        <v>38431</v>
      </c>
      <c r="AV12" s="1" t="s">
        <v>263</v>
      </c>
      <c r="AW12" s="1" t="s">
        <v>264</v>
      </c>
      <c r="AX12" s="1"/>
      <c r="AY12" s="1"/>
      <c r="AZ12" s="1">
        <v>5912</v>
      </c>
      <c r="BA12" s="1" t="s">
        <v>267</v>
      </c>
      <c r="BB12" s="1"/>
      <c r="BC12" s="1">
        <v>118</v>
      </c>
      <c r="BD12" s="1" t="s">
        <v>260</v>
      </c>
      <c r="BE12" s="1" t="s">
        <v>271</v>
      </c>
      <c r="BF12" s="1"/>
      <c r="BG12" s="1">
        <v>11</v>
      </c>
      <c r="BH12" s="1" t="s">
        <v>272</v>
      </c>
      <c r="BI12" s="1">
        <v>17159449</v>
      </c>
      <c r="BJ12" s="1" t="s">
        <v>273</v>
      </c>
      <c r="BK12" s="1" t="s">
        <v>274</v>
      </c>
      <c r="BL12" s="1"/>
      <c r="BM12" s="1">
        <v>247</v>
      </c>
      <c r="BN12" s="1">
        <v>3571</v>
      </c>
      <c r="BO12" s="1"/>
      <c r="BP12" s="1" t="s">
        <v>365</v>
      </c>
      <c r="BQ12" s="1" t="s">
        <v>2</v>
      </c>
      <c r="BR12" s="1"/>
      <c r="BS12" s="1">
        <v>1306</v>
      </c>
      <c r="BT12" s="1"/>
      <c r="BU12" s="1"/>
      <c r="BV12" s="1"/>
      <c r="BW12" s="1"/>
      <c r="BX12" s="1"/>
      <c r="BY12" s="1"/>
    </row>
    <row r="13" spans="1:77" x14ac:dyDescent="0.2">
      <c r="A13">
        <v>11</v>
      </c>
      <c r="B13" s="1" t="s">
        <v>251</v>
      </c>
      <c r="C13" s="1" t="s">
        <v>252</v>
      </c>
      <c r="D13" s="1">
        <v>27422178541</v>
      </c>
      <c r="E13" s="1">
        <v>42217854</v>
      </c>
      <c r="F13" s="1" t="s">
        <v>366</v>
      </c>
      <c r="G13" s="1" t="s">
        <v>366</v>
      </c>
      <c r="H13" s="1" t="s">
        <v>367</v>
      </c>
      <c r="I13" s="1" t="s">
        <v>122</v>
      </c>
      <c r="J13" s="1" t="s">
        <v>368</v>
      </c>
      <c r="K13" s="1" t="s">
        <v>369</v>
      </c>
      <c r="L13" s="1" t="s">
        <v>257</v>
      </c>
      <c r="M13" s="1">
        <v>3516612117</v>
      </c>
      <c r="N13" s="1" t="s">
        <v>370</v>
      </c>
      <c r="O13" s="1" t="s">
        <v>259</v>
      </c>
      <c r="P13" s="1" t="s">
        <v>260</v>
      </c>
      <c r="Q13" s="1" t="s">
        <v>371</v>
      </c>
      <c r="R13" s="1" t="s">
        <v>372</v>
      </c>
      <c r="S13" s="1">
        <v>765</v>
      </c>
      <c r="T13" s="1">
        <v>7</v>
      </c>
      <c r="U13" s="1" t="s">
        <v>373</v>
      </c>
      <c r="V13" s="1"/>
      <c r="W13" s="1"/>
      <c r="X13" s="1">
        <v>924000</v>
      </c>
      <c r="Y13" s="1">
        <v>6</v>
      </c>
      <c r="Z13" s="1">
        <v>5544000</v>
      </c>
      <c r="AA13" s="1"/>
      <c r="AB13" s="1"/>
      <c r="AC13" s="1" t="s">
        <v>263</v>
      </c>
      <c r="AD13" s="1" t="s">
        <v>264</v>
      </c>
      <c r="AE13" s="1">
        <v>11</v>
      </c>
      <c r="AF13" s="1" t="s">
        <v>265</v>
      </c>
      <c r="AG13" s="1">
        <v>6</v>
      </c>
      <c r="AH13" s="1">
        <v>5000</v>
      </c>
      <c r="AI13" s="1"/>
      <c r="AJ13" s="1">
        <v>3904088</v>
      </c>
      <c r="AK13" s="1"/>
      <c r="AL13" s="1" t="s">
        <v>267</v>
      </c>
      <c r="AM13" s="1" t="s">
        <v>268</v>
      </c>
      <c r="AN13" s="1" t="s">
        <v>269</v>
      </c>
      <c r="AO13" s="1">
        <v>37328</v>
      </c>
      <c r="AP13" s="1"/>
      <c r="AQ13" s="1"/>
      <c r="AR13" s="1"/>
      <c r="AS13" s="1" t="s">
        <v>270</v>
      </c>
      <c r="AT13" s="1" t="s">
        <v>268</v>
      </c>
      <c r="AU13" s="1">
        <v>37328</v>
      </c>
      <c r="AV13" s="1" t="s">
        <v>263</v>
      </c>
      <c r="AW13" s="1" t="s">
        <v>264</v>
      </c>
      <c r="AX13" s="1"/>
      <c r="AY13" s="1"/>
      <c r="AZ13" s="1">
        <v>15202</v>
      </c>
      <c r="BA13" s="1" t="s">
        <v>267</v>
      </c>
      <c r="BB13" s="1"/>
      <c r="BC13" s="1">
        <v>118</v>
      </c>
      <c r="BD13" s="1" t="s">
        <v>260</v>
      </c>
      <c r="BE13" s="1" t="s">
        <v>271</v>
      </c>
      <c r="BF13" s="1"/>
      <c r="BG13" s="1">
        <v>11</v>
      </c>
      <c r="BH13" s="1" t="s">
        <v>272</v>
      </c>
      <c r="BI13" s="1">
        <v>17159449</v>
      </c>
      <c r="BJ13" s="1" t="s">
        <v>273</v>
      </c>
      <c r="BK13" s="1" t="s">
        <v>274</v>
      </c>
      <c r="BL13" s="1"/>
      <c r="BM13" s="1">
        <v>247</v>
      </c>
      <c r="BN13" s="1">
        <v>351</v>
      </c>
      <c r="BO13" s="1"/>
      <c r="BP13" s="1" t="s">
        <v>374</v>
      </c>
      <c r="BQ13" s="1" t="s">
        <v>2</v>
      </c>
      <c r="BR13" s="1"/>
      <c r="BS13" s="1">
        <v>765</v>
      </c>
      <c r="BT13" s="1"/>
      <c r="BU13" s="1"/>
      <c r="BV13" s="1"/>
      <c r="BW13" s="1"/>
      <c r="BX13" s="1"/>
      <c r="BY13" s="1"/>
    </row>
    <row r="14" spans="1:77" x14ac:dyDescent="0.2">
      <c r="A14">
        <v>12</v>
      </c>
      <c r="B14" s="1" t="s">
        <v>251</v>
      </c>
      <c r="C14" s="1" t="s">
        <v>252</v>
      </c>
      <c r="D14" s="1">
        <v>27260650853</v>
      </c>
      <c r="E14" s="1">
        <v>26065085</v>
      </c>
      <c r="F14" s="1" t="s">
        <v>375</v>
      </c>
      <c r="G14" s="1" t="s">
        <v>375</v>
      </c>
      <c r="H14" s="1" t="s">
        <v>376</v>
      </c>
      <c r="I14" s="1" t="s">
        <v>123</v>
      </c>
      <c r="J14" s="1" t="s">
        <v>377</v>
      </c>
      <c r="K14" s="1" t="s">
        <v>378</v>
      </c>
      <c r="L14" s="1" t="s">
        <v>257</v>
      </c>
      <c r="M14" s="1">
        <v>2906813</v>
      </c>
      <c r="N14" s="1" t="s">
        <v>379</v>
      </c>
      <c r="O14" s="1" t="s">
        <v>259</v>
      </c>
      <c r="P14" s="1" t="s">
        <v>260</v>
      </c>
      <c r="Q14" s="1" t="s">
        <v>380</v>
      </c>
      <c r="R14" s="1" t="s">
        <v>381</v>
      </c>
      <c r="S14" s="1">
        <v>692</v>
      </c>
      <c r="T14" s="1"/>
      <c r="U14" s="1"/>
      <c r="V14" s="1"/>
      <c r="W14" s="1"/>
      <c r="X14" s="1">
        <v>924000</v>
      </c>
      <c r="Y14" s="1">
        <v>6</v>
      </c>
      <c r="Z14" s="1">
        <v>5544000</v>
      </c>
      <c r="AA14" s="1"/>
      <c r="AB14" s="1"/>
      <c r="AC14" s="1" t="s">
        <v>263</v>
      </c>
      <c r="AD14" s="1" t="s">
        <v>264</v>
      </c>
      <c r="AE14" s="1">
        <v>12</v>
      </c>
      <c r="AF14" s="1" t="s">
        <v>265</v>
      </c>
      <c r="AG14" s="1">
        <v>6</v>
      </c>
      <c r="AH14" s="1">
        <v>5000</v>
      </c>
      <c r="AI14" s="1"/>
      <c r="AJ14" s="1" t="s">
        <v>382</v>
      </c>
      <c r="AK14" s="1"/>
      <c r="AL14" s="1" t="s">
        <v>267</v>
      </c>
      <c r="AM14" s="1" t="s">
        <v>268</v>
      </c>
      <c r="AN14" s="1" t="s">
        <v>314</v>
      </c>
      <c r="AO14" s="1">
        <v>37322</v>
      </c>
      <c r="AP14" s="1"/>
      <c r="AQ14" s="1"/>
      <c r="AR14" s="1"/>
      <c r="AS14" s="1" t="s">
        <v>270</v>
      </c>
      <c r="AT14" s="1" t="s">
        <v>268</v>
      </c>
      <c r="AU14" s="1">
        <v>37322</v>
      </c>
      <c r="AV14" s="1" t="s">
        <v>263</v>
      </c>
      <c r="AW14" s="1" t="s">
        <v>264</v>
      </c>
      <c r="AX14" s="1"/>
      <c r="AY14" s="1"/>
      <c r="AZ14" s="1">
        <v>15203</v>
      </c>
      <c r="BA14" s="1" t="s">
        <v>267</v>
      </c>
      <c r="BB14" s="1"/>
      <c r="BC14" s="1">
        <v>118</v>
      </c>
      <c r="BD14" s="1" t="s">
        <v>260</v>
      </c>
      <c r="BE14" s="1" t="s">
        <v>271</v>
      </c>
      <c r="BF14" s="1"/>
      <c r="BG14" s="1">
        <v>11</v>
      </c>
      <c r="BH14" s="1" t="s">
        <v>272</v>
      </c>
      <c r="BI14" s="1">
        <v>17159449</v>
      </c>
      <c r="BJ14" s="1" t="s">
        <v>273</v>
      </c>
      <c r="BK14" s="1" t="s">
        <v>274</v>
      </c>
      <c r="BL14" s="1"/>
      <c r="BM14" s="1">
        <v>66</v>
      </c>
      <c r="BN14" s="1">
        <v>351</v>
      </c>
      <c r="BO14" s="1"/>
      <c r="BP14" s="1" t="s">
        <v>383</v>
      </c>
      <c r="BQ14" s="1" t="s">
        <v>2</v>
      </c>
      <c r="BR14" s="1"/>
      <c r="BS14" s="1">
        <v>692</v>
      </c>
      <c r="BT14" s="1"/>
      <c r="BU14" s="1"/>
      <c r="BV14" s="1"/>
      <c r="BW14" s="1"/>
      <c r="BX14" s="1"/>
      <c r="BY14" s="1"/>
    </row>
    <row r="15" spans="1:77" x14ac:dyDescent="0.2">
      <c r="A15">
        <v>13</v>
      </c>
      <c r="B15" s="1" t="s">
        <v>251</v>
      </c>
      <c r="C15" s="1" t="s">
        <v>252</v>
      </c>
      <c r="D15" s="1">
        <v>20352124851</v>
      </c>
      <c r="E15" s="1">
        <v>35212485</v>
      </c>
      <c r="F15" s="1" t="s">
        <v>384</v>
      </c>
      <c r="G15" s="1" t="s">
        <v>384</v>
      </c>
      <c r="H15" s="1" t="s">
        <v>385</v>
      </c>
      <c r="I15" s="1" t="s">
        <v>124</v>
      </c>
      <c r="J15" s="1" t="s">
        <v>386</v>
      </c>
      <c r="K15" s="1" t="s">
        <v>387</v>
      </c>
      <c r="L15" s="1">
        <v>913</v>
      </c>
      <c r="M15" s="1">
        <v>5519079</v>
      </c>
      <c r="N15" s="1" t="s">
        <v>388</v>
      </c>
      <c r="O15" s="1" t="s">
        <v>259</v>
      </c>
      <c r="P15" s="1" t="s">
        <v>260</v>
      </c>
      <c r="Q15" s="1" t="s">
        <v>389</v>
      </c>
      <c r="R15" s="1" t="s">
        <v>390</v>
      </c>
      <c r="S15" s="1">
        <v>1745</v>
      </c>
      <c r="T15" s="1"/>
      <c r="U15" s="1"/>
      <c r="V15" s="1"/>
      <c r="W15" s="1"/>
      <c r="X15" s="1">
        <v>1380500</v>
      </c>
      <c r="Y15" s="1">
        <v>6</v>
      </c>
      <c r="Z15" s="1">
        <v>8283000</v>
      </c>
      <c r="AA15" s="1"/>
      <c r="AB15" s="1"/>
      <c r="AC15" s="1" t="s">
        <v>263</v>
      </c>
      <c r="AD15" s="1" t="s">
        <v>264</v>
      </c>
      <c r="AE15" s="1">
        <v>13</v>
      </c>
      <c r="AF15" s="1" t="s">
        <v>265</v>
      </c>
      <c r="AG15" s="1">
        <v>6</v>
      </c>
      <c r="AH15" s="1">
        <v>5000</v>
      </c>
      <c r="AI15" s="1" t="s">
        <v>391</v>
      </c>
      <c r="AJ15" s="1"/>
      <c r="AK15" s="1"/>
      <c r="AL15" s="1" t="s">
        <v>267</v>
      </c>
      <c r="AM15" s="1" t="s">
        <v>268</v>
      </c>
      <c r="AN15" s="1" t="s">
        <v>269</v>
      </c>
      <c r="AO15" s="1">
        <v>35786</v>
      </c>
      <c r="AP15" s="1"/>
      <c r="AQ15" s="1"/>
      <c r="AR15" s="1"/>
      <c r="AS15" s="1" t="s">
        <v>392</v>
      </c>
      <c r="AT15" s="1" t="s">
        <v>268</v>
      </c>
      <c r="AU15" s="1">
        <v>35786</v>
      </c>
      <c r="AV15" s="1" t="s">
        <v>263</v>
      </c>
      <c r="AW15" s="1" t="s">
        <v>264</v>
      </c>
      <c r="AX15" s="1"/>
      <c r="AY15" s="1"/>
      <c r="AZ15" s="1">
        <v>26061</v>
      </c>
      <c r="BA15" s="1" t="s">
        <v>294</v>
      </c>
      <c r="BB15" s="1"/>
      <c r="BC15" s="1">
        <v>118</v>
      </c>
      <c r="BD15" s="1" t="s">
        <v>260</v>
      </c>
      <c r="BE15" s="1" t="s">
        <v>271</v>
      </c>
      <c r="BF15" s="1"/>
      <c r="BG15" s="1">
        <v>11</v>
      </c>
      <c r="BH15" s="1" t="s">
        <v>272</v>
      </c>
      <c r="BI15" s="1">
        <v>17159449</v>
      </c>
      <c r="BJ15" s="1" t="s">
        <v>273</v>
      </c>
      <c r="BK15" s="1" t="s">
        <v>295</v>
      </c>
      <c r="BL15" s="1"/>
      <c r="BM15" s="1"/>
      <c r="BN15" s="1">
        <v>351</v>
      </c>
      <c r="BO15" s="1"/>
      <c r="BP15" s="1" t="s">
        <v>393</v>
      </c>
      <c r="BQ15" s="1" t="s">
        <v>2</v>
      </c>
      <c r="BR15" s="1"/>
      <c r="BS15" s="1">
        <v>1745</v>
      </c>
      <c r="BT15" s="1"/>
      <c r="BU15" s="1"/>
      <c r="BV15" s="1"/>
      <c r="BW15" s="1"/>
      <c r="BX15" s="1"/>
      <c r="BY15" s="1"/>
    </row>
    <row r="16" spans="1:77" x14ac:dyDescent="0.2">
      <c r="A16">
        <v>14</v>
      </c>
      <c r="B16" s="1" t="s">
        <v>251</v>
      </c>
      <c r="C16" s="1" t="s">
        <v>252</v>
      </c>
      <c r="D16" s="1">
        <v>20215550088</v>
      </c>
      <c r="E16" s="1">
        <v>21555008</v>
      </c>
      <c r="F16" s="1" t="s">
        <v>394</v>
      </c>
      <c r="G16" s="1" t="s">
        <v>395</v>
      </c>
      <c r="H16" s="1" t="s">
        <v>396</v>
      </c>
      <c r="I16" s="1" t="s">
        <v>125</v>
      </c>
      <c r="J16" s="1" t="s">
        <v>397</v>
      </c>
      <c r="K16" s="1" t="s">
        <v>398</v>
      </c>
      <c r="L16" s="1" t="s">
        <v>399</v>
      </c>
      <c r="M16" s="1">
        <v>3516839530</v>
      </c>
      <c r="N16" s="1" t="s">
        <v>400</v>
      </c>
      <c r="O16" s="1" t="s">
        <v>401</v>
      </c>
      <c r="P16" s="1" t="s">
        <v>402</v>
      </c>
      <c r="Q16" s="1" t="s">
        <v>403</v>
      </c>
      <c r="R16" s="1" t="s">
        <v>404</v>
      </c>
      <c r="S16" s="1"/>
      <c r="T16" s="1"/>
      <c r="U16" s="1"/>
      <c r="V16" s="1">
        <v>81</v>
      </c>
      <c r="W16" s="1">
        <v>29</v>
      </c>
      <c r="X16" s="1">
        <v>924000</v>
      </c>
      <c r="Y16" s="1">
        <v>6</v>
      </c>
      <c r="Z16" s="1">
        <v>5544000</v>
      </c>
      <c r="AA16" s="1"/>
      <c r="AB16" s="1"/>
      <c r="AC16" s="1" t="s">
        <v>263</v>
      </c>
      <c r="AD16" s="1" t="s">
        <v>264</v>
      </c>
      <c r="AE16" s="1">
        <v>14</v>
      </c>
      <c r="AF16" s="1" t="s">
        <v>265</v>
      </c>
      <c r="AG16" s="1">
        <v>6</v>
      </c>
      <c r="AH16" s="1"/>
      <c r="AI16" s="1"/>
      <c r="AJ16" s="1" t="s">
        <v>405</v>
      </c>
      <c r="AK16" s="1"/>
      <c r="AL16" s="1" t="s">
        <v>267</v>
      </c>
      <c r="AM16" s="1" t="s">
        <v>268</v>
      </c>
      <c r="AN16" s="1"/>
      <c r="AO16" s="1">
        <v>37312</v>
      </c>
      <c r="AP16" s="1"/>
      <c r="AQ16" s="1"/>
      <c r="AR16" s="1"/>
      <c r="AS16" s="1"/>
      <c r="AT16" s="1" t="s">
        <v>268</v>
      </c>
      <c r="AU16" s="1">
        <v>37312</v>
      </c>
      <c r="AV16" s="1" t="s">
        <v>263</v>
      </c>
      <c r="AW16" s="1" t="s">
        <v>264</v>
      </c>
      <c r="AX16" s="1"/>
      <c r="AY16" s="1"/>
      <c r="AZ16" s="1">
        <v>15204</v>
      </c>
      <c r="BA16" s="1" t="s">
        <v>267</v>
      </c>
      <c r="BB16" s="1"/>
      <c r="BC16" s="1">
        <v>118</v>
      </c>
      <c r="BD16" s="1"/>
      <c r="BE16" s="1" t="s">
        <v>271</v>
      </c>
      <c r="BF16" s="1"/>
      <c r="BG16" s="1">
        <v>11</v>
      </c>
      <c r="BH16" s="1" t="s">
        <v>272</v>
      </c>
      <c r="BI16" s="1">
        <v>17159449</v>
      </c>
      <c r="BJ16" s="1" t="s">
        <v>273</v>
      </c>
      <c r="BK16" s="1"/>
      <c r="BL16" s="1"/>
      <c r="BM16" s="1">
        <v>247</v>
      </c>
      <c r="BN16" s="1"/>
      <c r="BO16" s="1"/>
      <c r="BP16" s="1" t="s">
        <v>406</v>
      </c>
      <c r="BQ16" s="1" t="s">
        <v>2</v>
      </c>
      <c r="BR16" s="1"/>
      <c r="BS16" s="1"/>
      <c r="BT16" s="1"/>
      <c r="BU16" s="1"/>
      <c r="BV16" s="1"/>
      <c r="BW16" s="1"/>
      <c r="BX16" s="1"/>
      <c r="BY16" s="1"/>
    </row>
    <row r="17" spans="1:77" x14ac:dyDescent="0.2">
      <c r="A17">
        <v>15</v>
      </c>
      <c r="B17" s="1" t="s">
        <v>251</v>
      </c>
      <c r="C17" s="1" t="s">
        <v>252</v>
      </c>
      <c r="D17" s="1">
        <v>23383378524</v>
      </c>
      <c r="E17" s="1">
        <v>38337852</v>
      </c>
      <c r="F17" s="1" t="s">
        <v>407</v>
      </c>
      <c r="G17" s="1" t="s">
        <v>407</v>
      </c>
      <c r="H17" s="1" t="s">
        <v>254</v>
      </c>
      <c r="I17" s="1" t="s">
        <v>126</v>
      </c>
      <c r="J17" s="1" t="s">
        <v>408</v>
      </c>
      <c r="K17" s="1" t="s">
        <v>409</v>
      </c>
      <c r="L17" s="1" t="s">
        <v>257</v>
      </c>
      <c r="M17" s="1">
        <v>575372</v>
      </c>
      <c r="N17" s="1" t="s">
        <v>410</v>
      </c>
      <c r="O17" s="1" t="s">
        <v>259</v>
      </c>
      <c r="P17" s="1" t="s">
        <v>260</v>
      </c>
      <c r="Q17" s="1" t="s">
        <v>411</v>
      </c>
      <c r="R17" s="1" t="s">
        <v>412</v>
      </c>
      <c r="S17" s="1">
        <v>153</v>
      </c>
      <c r="T17" s="1"/>
      <c r="U17" s="1"/>
      <c r="V17" s="1"/>
      <c r="W17" s="1"/>
      <c r="X17" s="1">
        <v>1611500</v>
      </c>
      <c r="Y17" s="1">
        <v>6</v>
      </c>
      <c r="Z17" s="1">
        <v>9669000</v>
      </c>
      <c r="AA17" s="1"/>
      <c r="AB17" s="1"/>
      <c r="AC17" s="1" t="s">
        <v>263</v>
      </c>
      <c r="AD17" s="1" t="s">
        <v>264</v>
      </c>
      <c r="AE17" s="1">
        <v>15</v>
      </c>
      <c r="AF17" s="1" t="s">
        <v>265</v>
      </c>
      <c r="AG17" s="1">
        <v>6</v>
      </c>
      <c r="AH17" s="1">
        <v>5000</v>
      </c>
      <c r="AI17" s="1"/>
      <c r="AJ17" s="1">
        <v>3904347</v>
      </c>
      <c r="AK17" s="1"/>
      <c r="AL17" s="1" t="s">
        <v>267</v>
      </c>
      <c r="AM17" s="1" t="s">
        <v>268</v>
      </c>
      <c r="AN17" s="1" t="s">
        <v>269</v>
      </c>
      <c r="AO17" s="1">
        <v>37279</v>
      </c>
      <c r="AP17" s="1"/>
      <c r="AQ17" s="1"/>
      <c r="AR17" s="1"/>
      <c r="AS17" s="1" t="s">
        <v>413</v>
      </c>
      <c r="AT17" s="1" t="s">
        <v>268</v>
      </c>
      <c r="AU17" s="1">
        <v>37279</v>
      </c>
      <c r="AV17" s="1" t="s">
        <v>263</v>
      </c>
      <c r="AW17" s="1" t="s">
        <v>264</v>
      </c>
      <c r="AX17" s="1"/>
      <c r="AY17" s="1"/>
      <c r="AZ17" s="1">
        <v>15205</v>
      </c>
      <c r="BA17" s="1" t="s">
        <v>267</v>
      </c>
      <c r="BB17" s="1"/>
      <c r="BC17" s="1">
        <v>118</v>
      </c>
      <c r="BD17" s="1" t="s">
        <v>362</v>
      </c>
      <c r="BE17" s="1" t="s">
        <v>271</v>
      </c>
      <c r="BF17" s="1"/>
      <c r="BG17" s="1">
        <v>11</v>
      </c>
      <c r="BH17" s="1" t="s">
        <v>272</v>
      </c>
      <c r="BI17" s="1">
        <v>17159449</v>
      </c>
      <c r="BJ17" s="1" t="s">
        <v>273</v>
      </c>
      <c r="BK17" s="1" t="s">
        <v>274</v>
      </c>
      <c r="BL17" s="1"/>
      <c r="BM17" s="1">
        <v>247</v>
      </c>
      <c r="BN17" s="1">
        <v>3571</v>
      </c>
      <c r="BO17" s="1"/>
      <c r="BP17" s="1" t="s">
        <v>414</v>
      </c>
      <c r="BQ17" s="1" t="s">
        <v>2</v>
      </c>
      <c r="BR17" s="1"/>
      <c r="BS17" s="1">
        <v>153</v>
      </c>
      <c r="BT17" s="1"/>
      <c r="BU17" s="1"/>
      <c r="BV17" s="1"/>
      <c r="BW17" s="1"/>
      <c r="BX17" s="1"/>
      <c r="BY17" s="1"/>
    </row>
    <row r="18" spans="1:77" x14ac:dyDescent="0.2">
      <c r="A18">
        <v>16</v>
      </c>
      <c r="B18" s="1" t="s">
        <v>251</v>
      </c>
      <c r="C18" s="1" t="s">
        <v>252</v>
      </c>
      <c r="D18" s="1">
        <v>27375920978</v>
      </c>
      <c r="E18" s="1">
        <v>37592097</v>
      </c>
      <c r="F18" s="1" t="s">
        <v>415</v>
      </c>
      <c r="G18" s="1" t="s">
        <v>415</v>
      </c>
      <c r="H18" s="1" t="s">
        <v>416</v>
      </c>
      <c r="I18" s="1" t="s">
        <v>127</v>
      </c>
      <c r="J18" s="1" t="s">
        <v>417</v>
      </c>
      <c r="K18" s="1" t="s">
        <v>418</v>
      </c>
      <c r="L18" s="1">
        <v>913</v>
      </c>
      <c r="M18" s="1">
        <v>2035526</v>
      </c>
      <c r="N18" s="1" t="s">
        <v>419</v>
      </c>
      <c r="O18" s="1" t="s">
        <v>259</v>
      </c>
      <c r="P18" s="1" t="s">
        <v>260</v>
      </c>
      <c r="Q18" s="1" t="s">
        <v>302</v>
      </c>
      <c r="R18" s="1" t="s">
        <v>420</v>
      </c>
      <c r="S18" s="1">
        <v>540</v>
      </c>
      <c r="T18" s="1">
        <v>5</v>
      </c>
      <c r="U18" s="1" t="s">
        <v>373</v>
      </c>
      <c r="V18" s="1"/>
      <c r="W18" s="1"/>
      <c r="X18" s="1">
        <v>1380500</v>
      </c>
      <c r="Y18" s="1">
        <v>6</v>
      </c>
      <c r="Z18" s="1">
        <v>8283000</v>
      </c>
      <c r="AA18" s="1"/>
      <c r="AB18" s="1"/>
      <c r="AC18" s="1" t="s">
        <v>263</v>
      </c>
      <c r="AD18" s="1" t="s">
        <v>264</v>
      </c>
      <c r="AE18" s="1">
        <v>16</v>
      </c>
      <c r="AF18" s="1" t="s">
        <v>265</v>
      </c>
      <c r="AG18" s="1">
        <v>6</v>
      </c>
      <c r="AH18" s="1">
        <v>5000</v>
      </c>
      <c r="AI18" s="1" t="s">
        <v>421</v>
      </c>
      <c r="AJ18" s="1"/>
      <c r="AK18" s="1"/>
      <c r="AL18" s="1" t="s">
        <v>267</v>
      </c>
      <c r="AM18" s="1" t="s">
        <v>268</v>
      </c>
      <c r="AN18" s="1" t="s">
        <v>269</v>
      </c>
      <c r="AO18" s="1">
        <v>38996</v>
      </c>
      <c r="AP18" s="1"/>
      <c r="AQ18" s="1"/>
      <c r="AR18" s="1"/>
      <c r="AS18" s="1" t="s">
        <v>270</v>
      </c>
      <c r="AT18" s="1" t="s">
        <v>268</v>
      </c>
      <c r="AU18" s="1">
        <v>38996</v>
      </c>
      <c r="AV18" s="1" t="s">
        <v>263</v>
      </c>
      <c r="AW18" s="1" t="s">
        <v>264</v>
      </c>
      <c r="AX18" s="1"/>
      <c r="AY18" s="1"/>
      <c r="AZ18" s="1">
        <v>27390</v>
      </c>
      <c r="BA18" s="1" t="s">
        <v>294</v>
      </c>
      <c r="BB18" s="1"/>
      <c r="BC18" s="1">
        <v>118</v>
      </c>
      <c r="BD18" s="1" t="s">
        <v>260</v>
      </c>
      <c r="BE18" s="1" t="s">
        <v>271</v>
      </c>
      <c r="BF18" s="1"/>
      <c r="BG18" s="1">
        <v>11</v>
      </c>
      <c r="BH18" s="1" t="s">
        <v>272</v>
      </c>
      <c r="BI18" s="1">
        <v>17159449</v>
      </c>
      <c r="BJ18" s="1" t="s">
        <v>273</v>
      </c>
      <c r="BK18" s="1" t="s">
        <v>274</v>
      </c>
      <c r="BL18" s="1"/>
      <c r="BM18" s="1"/>
      <c r="BN18" s="1">
        <v>351</v>
      </c>
      <c r="BO18" s="1"/>
      <c r="BP18" s="1" t="s">
        <v>422</v>
      </c>
      <c r="BQ18" s="1" t="s">
        <v>2</v>
      </c>
      <c r="BR18" s="1"/>
      <c r="BS18" s="1">
        <v>540</v>
      </c>
      <c r="BT18" s="1"/>
      <c r="BU18" s="1"/>
      <c r="BV18" s="1"/>
      <c r="BW18" s="1"/>
      <c r="BX18" s="1"/>
      <c r="BY18" s="1"/>
    </row>
    <row r="19" spans="1:77" x14ac:dyDescent="0.2">
      <c r="A19">
        <v>17</v>
      </c>
      <c r="B19" s="1" t="s">
        <v>251</v>
      </c>
      <c r="C19" s="1" t="s">
        <v>252</v>
      </c>
      <c r="D19" s="1">
        <v>27304735517</v>
      </c>
      <c r="E19" s="1">
        <v>30473551</v>
      </c>
      <c r="F19" s="1" t="s">
        <v>423</v>
      </c>
      <c r="G19" s="1" t="s">
        <v>423</v>
      </c>
      <c r="H19" s="1" t="s">
        <v>424</v>
      </c>
      <c r="I19" s="1" t="s">
        <v>128</v>
      </c>
      <c r="J19" s="1" t="s">
        <v>425</v>
      </c>
      <c r="K19" s="1" t="s">
        <v>426</v>
      </c>
      <c r="L19" s="1" t="s">
        <v>257</v>
      </c>
      <c r="M19" s="1">
        <v>7634064</v>
      </c>
      <c r="N19" s="1" t="s">
        <v>427</v>
      </c>
      <c r="O19" s="1" t="s">
        <v>259</v>
      </c>
      <c r="P19" s="1" t="s">
        <v>260</v>
      </c>
      <c r="Q19" s="1" t="s">
        <v>428</v>
      </c>
      <c r="R19" s="1" t="s">
        <v>429</v>
      </c>
      <c r="S19" s="1">
        <v>2229</v>
      </c>
      <c r="T19" s="1"/>
      <c r="U19" s="1"/>
      <c r="V19" s="1"/>
      <c r="W19" s="1"/>
      <c r="X19" s="1">
        <v>1380500</v>
      </c>
      <c r="Y19" s="1">
        <v>6</v>
      </c>
      <c r="Z19" s="1">
        <v>8283000</v>
      </c>
      <c r="AA19" s="1"/>
      <c r="AB19" s="1"/>
      <c r="AC19" s="1" t="s">
        <v>263</v>
      </c>
      <c r="AD19" s="1" t="s">
        <v>264</v>
      </c>
      <c r="AE19" s="1">
        <v>17</v>
      </c>
      <c r="AF19" s="1" t="s">
        <v>265</v>
      </c>
      <c r="AG19" s="1">
        <v>6</v>
      </c>
      <c r="AH19" s="1">
        <v>5000</v>
      </c>
      <c r="AI19" s="1"/>
      <c r="AJ19" s="1">
        <v>4292289</v>
      </c>
      <c r="AK19" s="1"/>
      <c r="AL19" s="1" t="s">
        <v>267</v>
      </c>
      <c r="AM19" s="1" t="s">
        <v>268</v>
      </c>
      <c r="AN19" s="1" t="s">
        <v>269</v>
      </c>
      <c r="AO19" s="1">
        <v>39015</v>
      </c>
      <c r="AP19" s="1"/>
      <c r="AQ19" s="1"/>
      <c r="AR19" s="1"/>
      <c r="AS19" s="1" t="s">
        <v>270</v>
      </c>
      <c r="AT19" s="1" t="s">
        <v>268</v>
      </c>
      <c r="AU19" s="1">
        <v>39015</v>
      </c>
      <c r="AV19" s="1" t="s">
        <v>263</v>
      </c>
      <c r="AW19" s="1" t="s">
        <v>264</v>
      </c>
      <c r="AX19" s="1"/>
      <c r="AY19" s="1"/>
      <c r="AZ19" s="1">
        <v>15206</v>
      </c>
      <c r="BA19" s="1" t="s">
        <v>267</v>
      </c>
      <c r="BB19" s="1"/>
      <c r="BC19" s="1">
        <v>118</v>
      </c>
      <c r="BD19" s="1" t="s">
        <v>260</v>
      </c>
      <c r="BE19" s="1" t="s">
        <v>271</v>
      </c>
      <c r="BF19" s="1"/>
      <c r="BG19" s="1">
        <v>11</v>
      </c>
      <c r="BH19" s="1" t="s">
        <v>272</v>
      </c>
      <c r="BI19" s="1">
        <v>17159449</v>
      </c>
      <c r="BJ19" s="1" t="s">
        <v>273</v>
      </c>
      <c r="BK19" s="1" t="s">
        <v>274</v>
      </c>
      <c r="BL19" s="1"/>
      <c r="BM19" s="1">
        <v>205</v>
      </c>
      <c r="BN19" s="1">
        <v>351</v>
      </c>
      <c r="BO19" s="1"/>
      <c r="BP19" s="1" t="s">
        <v>430</v>
      </c>
      <c r="BQ19" s="1" t="s">
        <v>2</v>
      </c>
      <c r="BR19" s="1"/>
      <c r="BS19" s="1">
        <v>2229</v>
      </c>
      <c r="BT19" s="1"/>
      <c r="BU19" s="1"/>
      <c r="BV19" s="1"/>
      <c r="BW19" s="1"/>
      <c r="BX19" s="1"/>
      <c r="BY19" s="1"/>
    </row>
    <row r="20" spans="1:77" x14ac:dyDescent="0.2">
      <c r="A20">
        <v>18</v>
      </c>
      <c r="B20" s="1" t="s">
        <v>251</v>
      </c>
      <c r="C20" s="1" t="s">
        <v>252</v>
      </c>
      <c r="D20" s="1">
        <v>27292075214</v>
      </c>
      <c r="E20" s="1">
        <v>29207521</v>
      </c>
      <c r="F20" s="1" t="s">
        <v>431</v>
      </c>
      <c r="G20" s="1" t="s">
        <v>431</v>
      </c>
      <c r="H20" s="1" t="s">
        <v>432</v>
      </c>
      <c r="I20" s="1" t="s">
        <v>129</v>
      </c>
      <c r="J20" s="1" t="s">
        <v>433</v>
      </c>
      <c r="K20" s="1" t="s">
        <v>434</v>
      </c>
      <c r="L20" s="1" t="s">
        <v>257</v>
      </c>
      <c r="M20" s="1">
        <v>2665098</v>
      </c>
      <c r="N20" s="1" t="s">
        <v>435</v>
      </c>
      <c r="O20" s="1" t="s">
        <v>259</v>
      </c>
      <c r="P20" s="1" t="s">
        <v>260</v>
      </c>
      <c r="Q20" s="1" t="s">
        <v>436</v>
      </c>
      <c r="R20" s="1" t="s">
        <v>437</v>
      </c>
      <c r="S20" s="1">
        <v>6053</v>
      </c>
      <c r="T20" s="1"/>
      <c r="U20" s="1"/>
      <c r="V20" s="1"/>
      <c r="W20" s="1"/>
      <c r="X20" s="1">
        <v>924000</v>
      </c>
      <c r="Y20" s="1">
        <v>6</v>
      </c>
      <c r="Z20" s="1">
        <v>5544000</v>
      </c>
      <c r="AA20" s="1"/>
      <c r="AB20" s="1"/>
      <c r="AC20" s="1" t="s">
        <v>263</v>
      </c>
      <c r="AD20" s="1" t="s">
        <v>264</v>
      </c>
      <c r="AE20" s="1">
        <v>18</v>
      </c>
      <c r="AF20" s="1" t="s">
        <v>265</v>
      </c>
      <c r="AG20" s="1">
        <v>6</v>
      </c>
      <c r="AH20" s="1">
        <v>5002</v>
      </c>
      <c r="AI20" s="1"/>
      <c r="AJ20" s="1" t="s">
        <v>438</v>
      </c>
      <c r="AK20" s="1"/>
      <c r="AL20" s="1" t="s">
        <v>267</v>
      </c>
      <c r="AM20" s="1" t="s">
        <v>268</v>
      </c>
      <c r="AN20" s="1" t="s">
        <v>269</v>
      </c>
      <c r="AO20" s="1">
        <v>166</v>
      </c>
      <c r="AP20" s="1"/>
      <c r="AQ20" s="1"/>
      <c r="AR20" s="1"/>
      <c r="AS20" s="1" t="s">
        <v>270</v>
      </c>
      <c r="AT20" s="1" t="s">
        <v>268</v>
      </c>
      <c r="AU20" s="1">
        <v>166</v>
      </c>
      <c r="AV20" s="1" t="s">
        <v>263</v>
      </c>
      <c r="AW20" s="1" t="s">
        <v>264</v>
      </c>
      <c r="AX20" s="1"/>
      <c r="AY20" s="1"/>
      <c r="AZ20" s="1">
        <v>15208</v>
      </c>
      <c r="BA20" s="1" t="s">
        <v>267</v>
      </c>
      <c r="BB20" s="1"/>
      <c r="BC20" s="1">
        <v>118</v>
      </c>
      <c r="BD20" s="1" t="s">
        <v>260</v>
      </c>
      <c r="BE20" s="1"/>
      <c r="BF20" s="1"/>
      <c r="BG20" s="1">
        <v>11</v>
      </c>
      <c r="BH20" s="1" t="s">
        <v>272</v>
      </c>
      <c r="BI20" s="1">
        <v>17159449</v>
      </c>
      <c r="BJ20" s="1" t="s">
        <v>273</v>
      </c>
      <c r="BK20" s="1" t="s">
        <v>274</v>
      </c>
      <c r="BL20" s="1"/>
      <c r="BM20" s="1">
        <v>247</v>
      </c>
      <c r="BN20" s="1">
        <v>351</v>
      </c>
      <c r="BO20" s="1"/>
      <c r="BP20" s="1" t="s">
        <v>439</v>
      </c>
      <c r="BQ20" s="1" t="s">
        <v>2</v>
      </c>
      <c r="BR20" s="1"/>
      <c r="BS20" s="1">
        <v>6053</v>
      </c>
      <c r="BT20" s="1"/>
      <c r="BU20" s="1"/>
      <c r="BV20" s="1"/>
      <c r="BW20" s="1"/>
      <c r="BX20" s="1"/>
      <c r="BY20" s="1"/>
    </row>
    <row r="21" spans="1:77" x14ac:dyDescent="0.2">
      <c r="A21">
        <v>19</v>
      </c>
      <c r="B21" s="1" t="s">
        <v>251</v>
      </c>
      <c r="C21" s="1" t="s">
        <v>252</v>
      </c>
      <c r="D21" s="1">
        <v>27243688634</v>
      </c>
      <c r="E21" s="1">
        <v>24368863</v>
      </c>
      <c r="F21" s="1" t="s">
        <v>440</v>
      </c>
      <c r="G21" s="1" t="s">
        <v>441</v>
      </c>
      <c r="H21" s="1" t="s">
        <v>442</v>
      </c>
      <c r="I21" s="1" t="s">
        <v>130</v>
      </c>
      <c r="J21" s="1" t="s">
        <v>443</v>
      </c>
      <c r="K21" s="1" t="s">
        <v>444</v>
      </c>
      <c r="L21" s="1" t="s">
        <v>257</v>
      </c>
      <c r="M21" s="1">
        <v>3512202294</v>
      </c>
      <c r="N21" s="1" t="s">
        <v>445</v>
      </c>
      <c r="O21" s="1"/>
      <c r="P21" s="1" t="s">
        <v>260</v>
      </c>
      <c r="Q21" s="1" t="s">
        <v>446</v>
      </c>
      <c r="R21" s="1" t="s">
        <v>447</v>
      </c>
      <c r="S21" s="1">
        <v>2463</v>
      </c>
      <c r="T21" s="1"/>
      <c r="U21" s="1"/>
      <c r="V21" s="1"/>
      <c r="W21" s="1"/>
      <c r="X21" s="1">
        <v>924000</v>
      </c>
      <c r="Y21" s="1">
        <v>6</v>
      </c>
      <c r="Z21" s="1">
        <v>5544000</v>
      </c>
      <c r="AA21" s="1"/>
      <c r="AB21" s="1"/>
      <c r="AC21" s="1" t="s">
        <v>263</v>
      </c>
      <c r="AD21" s="1" t="s">
        <v>264</v>
      </c>
      <c r="AE21" s="1">
        <v>19</v>
      </c>
      <c r="AF21" s="1" t="s">
        <v>265</v>
      </c>
      <c r="AG21" s="1">
        <v>6</v>
      </c>
      <c r="AH21" s="1"/>
      <c r="AI21" s="1"/>
      <c r="AJ21" s="1"/>
      <c r="AK21" s="1"/>
      <c r="AL21" s="1" t="s">
        <v>267</v>
      </c>
      <c r="AM21" s="1" t="s">
        <v>268</v>
      </c>
      <c r="AN21" s="1"/>
      <c r="AO21" s="1">
        <v>37315</v>
      </c>
      <c r="AP21" s="1"/>
      <c r="AQ21" s="1"/>
      <c r="AR21" s="1"/>
      <c r="AS21" s="1"/>
      <c r="AT21" s="1" t="s">
        <v>268</v>
      </c>
      <c r="AU21" s="1">
        <v>37315</v>
      </c>
      <c r="AV21" s="1" t="s">
        <v>263</v>
      </c>
      <c r="AW21" s="1" t="s">
        <v>264</v>
      </c>
      <c r="AX21" s="1"/>
      <c r="AY21" s="1"/>
      <c r="AZ21" s="1">
        <v>15209</v>
      </c>
      <c r="BA21" s="1" t="s">
        <v>267</v>
      </c>
      <c r="BB21" s="1"/>
      <c r="BC21" s="1">
        <v>118</v>
      </c>
      <c r="BD21" s="1"/>
      <c r="BE21" s="1" t="s">
        <v>271</v>
      </c>
      <c r="BF21" s="1"/>
      <c r="BG21" s="1">
        <v>11</v>
      </c>
      <c r="BH21" s="1" t="s">
        <v>272</v>
      </c>
      <c r="BI21" s="1">
        <v>17159449</v>
      </c>
      <c r="BJ21" s="1" t="s">
        <v>273</v>
      </c>
      <c r="BK21" s="1"/>
      <c r="BL21" s="1"/>
      <c r="BM21" s="1"/>
      <c r="BN21" s="1"/>
      <c r="BO21" s="1"/>
      <c r="BP21" s="1" t="s">
        <v>448</v>
      </c>
      <c r="BQ21" s="1" t="s">
        <v>2</v>
      </c>
      <c r="BR21" s="1"/>
      <c r="BS21" s="1">
        <v>2463</v>
      </c>
      <c r="BT21" s="1"/>
      <c r="BU21" s="1"/>
      <c r="BV21" s="1"/>
      <c r="BW21" s="1"/>
      <c r="BX21" s="1"/>
      <c r="BY21" s="1"/>
    </row>
    <row r="22" spans="1:77" x14ac:dyDescent="0.2">
      <c r="A22">
        <v>20</v>
      </c>
      <c r="B22" s="1" t="s">
        <v>251</v>
      </c>
      <c r="C22" s="1" t="s">
        <v>252</v>
      </c>
      <c r="D22" s="1">
        <v>20369839641</v>
      </c>
      <c r="E22" s="1">
        <v>36983964</v>
      </c>
      <c r="F22" s="1" t="s">
        <v>449</v>
      </c>
      <c r="G22" s="1" t="s">
        <v>449</v>
      </c>
      <c r="H22" s="1" t="s">
        <v>450</v>
      </c>
      <c r="I22" s="1" t="s">
        <v>131</v>
      </c>
      <c r="J22" s="1" t="s">
        <v>451</v>
      </c>
      <c r="K22" s="1" t="s">
        <v>452</v>
      </c>
      <c r="L22" s="1" t="s">
        <v>257</v>
      </c>
      <c r="M22" s="1">
        <v>7659898</v>
      </c>
      <c r="N22" s="1" t="s">
        <v>453</v>
      </c>
      <c r="O22" s="1" t="s">
        <v>259</v>
      </c>
      <c r="P22" s="1" t="s">
        <v>260</v>
      </c>
      <c r="Q22" s="1" t="s">
        <v>454</v>
      </c>
      <c r="R22" s="1" t="s">
        <v>455</v>
      </c>
      <c r="S22" s="1">
        <v>3168</v>
      </c>
      <c r="T22" s="1"/>
      <c r="U22" s="1"/>
      <c r="V22" s="1"/>
      <c r="W22" s="1"/>
      <c r="X22" s="1">
        <v>924000</v>
      </c>
      <c r="Y22" s="1">
        <v>6</v>
      </c>
      <c r="Z22" s="1">
        <v>5544000</v>
      </c>
      <c r="AA22" s="1"/>
      <c r="AB22" s="1"/>
      <c r="AC22" s="1" t="s">
        <v>263</v>
      </c>
      <c r="AD22" s="1" t="s">
        <v>264</v>
      </c>
      <c r="AE22" s="1">
        <v>20</v>
      </c>
      <c r="AF22" s="1" t="s">
        <v>265</v>
      </c>
      <c r="AG22" s="1">
        <v>6</v>
      </c>
      <c r="AH22" s="1">
        <v>5000</v>
      </c>
      <c r="AI22" s="1"/>
      <c r="AJ22" s="1"/>
      <c r="AK22" s="1"/>
      <c r="AL22" s="1" t="s">
        <v>267</v>
      </c>
      <c r="AM22" s="1" t="s">
        <v>268</v>
      </c>
      <c r="AN22" s="1" t="s">
        <v>269</v>
      </c>
      <c r="AO22" s="1">
        <v>156</v>
      </c>
      <c r="AP22" s="1"/>
      <c r="AQ22" s="1"/>
      <c r="AR22" s="1"/>
      <c r="AS22" s="1" t="s">
        <v>270</v>
      </c>
      <c r="AT22" s="1" t="s">
        <v>268</v>
      </c>
      <c r="AU22" s="1">
        <v>156</v>
      </c>
      <c r="AV22" s="1" t="s">
        <v>263</v>
      </c>
      <c r="AW22" s="1" t="s">
        <v>264</v>
      </c>
      <c r="AX22" s="1"/>
      <c r="AY22" s="1"/>
      <c r="AZ22" s="1">
        <v>15284</v>
      </c>
      <c r="BA22" s="1" t="s">
        <v>267</v>
      </c>
      <c r="BB22" s="1"/>
      <c r="BC22" s="1">
        <v>118</v>
      </c>
      <c r="BD22" s="1" t="s">
        <v>260</v>
      </c>
      <c r="BE22" s="1"/>
      <c r="BF22" s="1"/>
      <c r="BG22" s="1">
        <v>11</v>
      </c>
      <c r="BH22" s="1" t="s">
        <v>272</v>
      </c>
      <c r="BI22" s="1">
        <v>17159449</v>
      </c>
      <c r="BJ22" s="1" t="s">
        <v>273</v>
      </c>
      <c r="BK22" s="1" t="s">
        <v>295</v>
      </c>
      <c r="BL22" s="1"/>
      <c r="BM22" s="1"/>
      <c r="BN22" s="1">
        <v>351</v>
      </c>
      <c r="BO22" s="1"/>
      <c r="BP22" s="1" t="s">
        <v>456</v>
      </c>
      <c r="BQ22" s="1" t="s">
        <v>2</v>
      </c>
      <c r="BR22" s="1"/>
      <c r="BS22" s="1">
        <v>3168</v>
      </c>
      <c r="BT22" s="1"/>
      <c r="BU22" s="1"/>
      <c r="BV22" s="1"/>
      <c r="BW22" s="1"/>
      <c r="BX22" s="1"/>
      <c r="BY22" s="1"/>
    </row>
    <row r="23" spans="1:77" x14ac:dyDescent="0.2">
      <c r="A23">
        <v>21</v>
      </c>
      <c r="B23" s="1" t="s">
        <v>251</v>
      </c>
      <c r="C23" s="1" t="s">
        <v>252</v>
      </c>
      <c r="D23" s="1">
        <v>27391738837</v>
      </c>
      <c r="E23" s="1">
        <v>39173883</v>
      </c>
      <c r="F23" s="1" t="s">
        <v>457</v>
      </c>
      <c r="G23" s="1" t="s">
        <v>457</v>
      </c>
      <c r="H23" s="1" t="s">
        <v>458</v>
      </c>
      <c r="I23" s="1" t="s">
        <v>132</v>
      </c>
      <c r="J23" s="1" t="s">
        <v>459</v>
      </c>
      <c r="K23" s="1" t="s">
        <v>460</v>
      </c>
      <c r="L23" s="1">
        <v>913</v>
      </c>
      <c r="M23" s="1">
        <v>3110789</v>
      </c>
      <c r="N23" s="1" t="s">
        <v>461</v>
      </c>
      <c r="O23" s="1" t="s">
        <v>259</v>
      </c>
      <c r="P23" s="1" t="s">
        <v>260</v>
      </c>
      <c r="Q23" s="1" t="s">
        <v>462</v>
      </c>
      <c r="R23" s="1" t="s">
        <v>463</v>
      </c>
      <c r="S23" s="1">
        <v>2115</v>
      </c>
      <c r="T23" s="1"/>
      <c r="U23" s="1"/>
      <c r="V23" s="1"/>
      <c r="W23" s="1"/>
      <c r="X23" s="1">
        <v>1155000</v>
      </c>
      <c r="Y23" s="1">
        <v>6</v>
      </c>
      <c r="Z23" s="1">
        <v>6930000</v>
      </c>
      <c r="AA23" s="1"/>
      <c r="AB23" s="1"/>
      <c r="AC23" s="1" t="s">
        <v>263</v>
      </c>
      <c r="AD23" s="1" t="s">
        <v>264</v>
      </c>
      <c r="AE23" s="1">
        <v>21</v>
      </c>
      <c r="AF23" s="1" t="s">
        <v>265</v>
      </c>
      <c r="AG23" s="1">
        <v>6</v>
      </c>
      <c r="AH23" s="1">
        <v>5000</v>
      </c>
      <c r="AI23" s="1" t="s">
        <v>464</v>
      </c>
      <c r="AJ23" s="1"/>
      <c r="AK23" s="1"/>
      <c r="AL23" s="1" t="s">
        <v>267</v>
      </c>
      <c r="AM23" s="1" t="s">
        <v>268</v>
      </c>
      <c r="AN23" s="1" t="s">
        <v>269</v>
      </c>
      <c r="AO23" s="1">
        <v>38427</v>
      </c>
      <c r="AP23" s="1"/>
      <c r="AQ23" s="1"/>
      <c r="AR23" s="1"/>
      <c r="AS23" s="1" t="s">
        <v>270</v>
      </c>
      <c r="AT23" s="1" t="s">
        <v>268</v>
      </c>
      <c r="AU23" s="1">
        <v>38427</v>
      </c>
      <c r="AV23" s="1" t="s">
        <v>263</v>
      </c>
      <c r="AW23" s="1" t="s">
        <v>264</v>
      </c>
      <c r="AX23" s="1"/>
      <c r="AY23" s="1"/>
      <c r="AZ23" s="1">
        <v>25037</v>
      </c>
      <c r="BA23" s="1" t="s">
        <v>294</v>
      </c>
      <c r="BB23" s="1"/>
      <c r="BC23" s="1">
        <v>118</v>
      </c>
      <c r="BD23" s="1" t="s">
        <v>260</v>
      </c>
      <c r="BE23" s="1" t="s">
        <v>271</v>
      </c>
      <c r="BF23" s="1"/>
      <c r="BG23" s="1">
        <v>11</v>
      </c>
      <c r="BH23" s="1" t="s">
        <v>272</v>
      </c>
      <c r="BI23" s="1">
        <v>17159449</v>
      </c>
      <c r="BJ23" s="1" t="s">
        <v>273</v>
      </c>
      <c r="BK23" s="1" t="s">
        <v>295</v>
      </c>
      <c r="BL23" s="1"/>
      <c r="BM23" s="1"/>
      <c r="BN23" s="1">
        <v>351</v>
      </c>
      <c r="BO23" s="1"/>
      <c r="BP23" s="1" t="s">
        <v>465</v>
      </c>
      <c r="BQ23" s="1" t="s">
        <v>2</v>
      </c>
      <c r="BR23" s="1"/>
      <c r="BS23" s="1">
        <v>2115</v>
      </c>
      <c r="BT23" s="1"/>
      <c r="BU23" s="1"/>
      <c r="BV23" s="1"/>
      <c r="BW23" s="1"/>
      <c r="BX23" s="1"/>
      <c r="BY23" s="1"/>
    </row>
    <row r="24" spans="1:77" x14ac:dyDescent="0.2">
      <c r="A24">
        <v>22</v>
      </c>
      <c r="B24" s="1" t="s">
        <v>251</v>
      </c>
      <c r="C24" s="1" t="s">
        <v>252</v>
      </c>
      <c r="D24" s="1">
        <v>20284259395</v>
      </c>
      <c r="E24" s="1">
        <v>28425939</v>
      </c>
      <c r="F24" s="1" t="s">
        <v>466</v>
      </c>
      <c r="G24" s="1" t="s">
        <v>466</v>
      </c>
      <c r="H24" s="1" t="s">
        <v>467</v>
      </c>
      <c r="I24" s="1" t="s">
        <v>133</v>
      </c>
      <c r="J24" s="1" t="s">
        <v>468</v>
      </c>
      <c r="K24" s="1" t="s">
        <v>469</v>
      </c>
      <c r="L24" s="1">
        <v>913</v>
      </c>
      <c r="M24" s="1">
        <v>2128269</v>
      </c>
      <c r="N24" s="1" t="s">
        <v>470</v>
      </c>
      <c r="O24" s="1" t="s">
        <v>259</v>
      </c>
      <c r="P24" s="1" t="s">
        <v>260</v>
      </c>
      <c r="Q24" s="1" t="s">
        <v>462</v>
      </c>
      <c r="R24" s="1" t="s">
        <v>471</v>
      </c>
      <c r="S24" s="1">
        <v>349</v>
      </c>
      <c r="T24" s="1">
        <v>3</v>
      </c>
      <c r="U24" s="1" t="s">
        <v>472</v>
      </c>
      <c r="V24" s="1"/>
      <c r="W24" s="1"/>
      <c r="X24" s="1">
        <v>1380500</v>
      </c>
      <c r="Y24" s="1">
        <v>2</v>
      </c>
      <c r="Z24" s="1">
        <v>2761000</v>
      </c>
      <c r="AA24" s="1"/>
      <c r="AB24" s="1"/>
      <c r="AC24" s="1" t="s">
        <v>473</v>
      </c>
      <c r="AD24" s="1" t="s">
        <v>264</v>
      </c>
      <c r="AE24" s="1">
        <v>22</v>
      </c>
      <c r="AF24" s="1" t="s">
        <v>265</v>
      </c>
      <c r="AG24" s="1">
        <v>2</v>
      </c>
      <c r="AH24" s="1">
        <v>5000</v>
      </c>
      <c r="AI24" s="1" t="s">
        <v>474</v>
      </c>
      <c r="AJ24" s="1"/>
      <c r="AK24" s="1"/>
      <c r="AL24" s="1" t="s">
        <v>267</v>
      </c>
      <c r="AM24" s="1" t="s">
        <v>268</v>
      </c>
      <c r="AN24" s="1" t="s">
        <v>269</v>
      </c>
      <c r="AO24" s="1">
        <v>1124</v>
      </c>
      <c r="AP24" s="1"/>
      <c r="AQ24" s="1"/>
      <c r="AR24" s="1"/>
      <c r="AS24" s="1" t="s">
        <v>270</v>
      </c>
      <c r="AT24" s="1" t="s">
        <v>268</v>
      </c>
      <c r="AU24" s="1">
        <v>1124</v>
      </c>
      <c r="AV24" s="1" t="s">
        <v>473</v>
      </c>
      <c r="AW24" s="1" t="s">
        <v>264</v>
      </c>
      <c r="AX24" s="1"/>
      <c r="AY24" s="1"/>
      <c r="AZ24" s="1">
        <v>345</v>
      </c>
      <c r="BA24" s="1" t="s">
        <v>294</v>
      </c>
      <c r="BB24" s="1"/>
      <c r="BC24" s="1">
        <v>118</v>
      </c>
      <c r="BD24" s="1" t="s">
        <v>475</v>
      </c>
      <c r="BE24" s="1" t="s">
        <v>271</v>
      </c>
      <c r="BF24" s="1"/>
      <c r="BG24" s="1">
        <v>11</v>
      </c>
      <c r="BH24" s="1" t="s">
        <v>272</v>
      </c>
      <c r="BI24" s="1">
        <v>17159449</v>
      </c>
      <c r="BJ24" s="1" t="s">
        <v>273</v>
      </c>
      <c r="BK24" s="1" t="s">
        <v>295</v>
      </c>
      <c r="BL24" s="1"/>
      <c r="BM24" s="1"/>
      <c r="BN24" s="1">
        <v>351</v>
      </c>
      <c r="BO24" s="1"/>
      <c r="BP24" s="1" t="s">
        <v>476</v>
      </c>
      <c r="BQ24" s="1" t="s">
        <v>2</v>
      </c>
      <c r="BR24" s="1"/>
      <c r="BS24" s="1">
        <v>349</v>
      </c>
      <c r="BT24" s="1"/>
      <c r="BU24" s="1"/>
      <c r="BV24" s="1"/>
      <c r="BW24" s="1"/>
      <c r="BX24" s="1"/>
      <c r="BY24" s="1"/>
    </row>
    <row r="25" spans="1:77" x14ac:dyDescent="0.2">
      <c r="A25">
        <v>23</v>
      </c>
      <c r="B25" s="1" t="s">
        <v>251</v>
      </c>
      <c r="C25" s="1" t="s">
        <v>252</v>
      </c>
      <c r="D25" s="1">
        <v>20275431061</v>
      </c>
      <c r="E25" s="1">
        <v>27543106</v>
      </c>
      <c r="F25" s="1" t="s">
        <v>477</v>
      </c>
      <c r="G25" s="1" t="s">
        <v>477</v>
      </c>
      <c r="H25" s="1" t="s">
        <v>478</v>
      </c>
      <c r="I25" s="1" t="s">
        <v>134</v>
      </c>
      <c r="J25" s="1" t="s">
        <v>479</v>
      </c>
      <c r="K25" s="1" t="s">
        <v>480</v>
      </c>
      <c r="L25" s="1" t="s">
        <v>481</v>
      </c>
      <c r="M25" s="1">
        <v>3512260565</v>
      </c>
      <c r="N25" s="1" t="s">
        <v>482</v>
      </c>
      <c r="O25" s="1" t="s">
        <v>259</v>
      </c>
      <c r="P25" s="1" t="s">
        <v>260</v>
      </c>
      <c r="Q25" s="1" t="s">
        <v>311</v>
      </c>
      <c r="R25" s="1" t="s">
        <v>483</v>
      </c>
      <c r="S25" s="1">
        <v>1473</v>
      </c>
      <c r="T25" s="1"/>
      <c r="U25" s="1"/>
      <c r="V25" s="1"/>
      <c r="W25" s="1"/>
      <c r="X25" s="1">
        <v>808500</v>
      </c>
      <c r="Y25" s="1">
        <v>6</v>
      </c>
      <c r="Z25" s="1">
        <v>4851000</v>
      </c>
      <c r="AA25" s="1"/>
      <c r="AB25" s="1"/>
      <c r="AC25" s="1" t="s">
        <v>263</v>
      </c>
      <c r="AD25" s="1" t="s">
        <v>264</v>
      </c>
      <c r="AE25" s="1">
        <v>23</v>
      </c>
      <c r="AF25" s="1" t="s">
        <v>265</v>
      </c>
      <c r="AG25" s="1">
        <v>6</v>
      </c>
      <c r="AH25" s="1"/>
      <c r="AI25" s="1"/>
      <c r="AJ25" s="1" t="s">
        <v>484</v>
      </c>
      <c r="AK25" s="1"/>
      <c r="AL25" s="1" t="s">
        <v>267</v>
      </c>
      <c r="AM25" s="1" t="s">
        <v>268</v>
      </c>
      <c r="AN25" s="1"/>
      <c r="AO25" s="1">
        <v>37316</v>
      </c>
      <c r="AP25" s="1"/>
      <c r="AQ25" s="1"/>
      <c r="AR25" s="1"/>
      <c r="AS25" s="1"/>
      <c r="AT25" s="1" t="s">
        <v>268</v>
      </c>
      <c r="AU25" s="1">
        <v>37316</v>
      </c>
      <c r="AV25" s="1" t="s">
        <v>263</v>
      </c>
      <c r="AW25" s="1" t="s">
        <v>264</v>
      </c>
      <c r="AX25" s="1"/>
      <c r="AY25" s="1"/>
      <c r="AZ25" s="1">
        <v>15211</v>
      </c>
      <c r="BA25" s="1" t="s">
        <v>267</v>
      </c>
      <c r="BB25" s="1"/>
      <c r="BC25" s="1">
        <v>118</v>
      </c>
      <c r="BD25" s="1"/>
      <c r="BE25" s="1" t="s">
        <v>271</v>
      </c>
      <c r="BF25" s="1"/>
      <c r="BG25" s="1">
        <v>11</v>
      </c>
      <c r="BH25" s="1" t="s">
        <v>272</v>
      </c>
      <c r="BI25" s="1">
        <v>17159449</v>
      </c>
      <c r="BJ25" s="1" t="s">
        <v>273</v>
      </c>
      <c r="BK25" s="1"/>
      <c r="BL25" s="1"/>
      <c r="BM25" s="1">
        <v>247</v>
      </c>
      <c r="BN25" s="1"/>
      <c r="BO25" s="1"/>
      <c r="BP25" s="1" t="s">
        <v>485</v>
      </c>
      <c r="BQ25" s="1" t="s">
        <v>2</v>
      </c>
      <c r="BR25" s="1"/>
      <c r="BS25" s="1">
        <v>1473</v>
      </c>
      <c r="BT25" s="1"/>
      <c r="BU25" s="1"/>
      <c r="BV25" s="1"/>
      <c r="BW25" s="1"/>
      <c r="BX25" s="1"/>
      <c r="BY25" s="1"/>
    </row>
    <row r="26" spans="1:77" x14ac:dyDescent="0.2">
      <c r="A26">
        <v>24</v>
      </c>
      <c r="B26" s="1" t="s">
        <v>251</v>
      </c>
      <c r="C26" s="1" t="s">
        <v>252</v>
      </c>
      <c r="D26" s="1">
        <v>20315272921</v>
      </c>
      <c r="E26" s="1">
        <v>31527292</v>
      </c>
      <c r="F26" s="1" t="s">
        <v>486</v>
      </c>
      <c r="G26" s="1" t="s">
        <v>486</v>
      </c>
      <c r="H26" s="1" t="s">
        <v>487</v>
      </c>
      <c r="I26" s="1" t="s">
        <v>135</v>
      </c>
      <c r="J26" s="1" t="s">
        <v>488</v>
      </c>
      <c r="K26" s="1" t="s">
        <v>489</v>
      </c>
      <c r="L26" s="1" t="s">
        <v>257</v>
      </c>
      <c r="M26" s="1">
        <v>6869526</v>
      </c>
      <c r="N26" s="1" t="s">
        <v>490</v>
      </c>
      <c r="O26" s="1" t="s">
        <v>259</v>
      </c>
      <c r="P26" s="1" t="s">
        <v>491</v>
      </c>
      <c r="Q26" s="1" t="s">
        <v>492</v>
      </c>
      <c r="R26" s="1" t="s">
        <v>493</v>
      </c>
      <c r="S26" s="1">
        <v>378</v>
      </c>
      <c r="T26" s="1"/>
      <c r="U26" s="1"/>
      <c r="V26" s="1"/>
      <c r="W26" s="1"/>
      <c r="X26" s="1">
        <v>1380500</v>
      </c>
      <c r="Y26" s="1">
        <v>6</v>
      </c>
      <c r="Z26" s="1">
        <v>8283000</v>
      </c>
      <c r="AA26" s="1"/>
      <c r="AB26" s="1"/>
      <c r="AC26" s="1" t="s">
        <v>263</v>
      </c>
      <c r="AD26" s="1" t="s">
        <v>264</v>
      </c>
      <c r="AE26" s="1">
        <v>24</v>
      </c>
      <c r="AF26" s="1" t="s">
        <v>265</v>
      </c>
      <c r="AG26" s="1">
        <v>6</v>
      </c>
      <c r="AH26" s="1">
        <v>5000</v>
      </c>
      <c r="AI26" s="1"/>
      <c r="AJ26" s="1"/>
      <c r="AK26" s="1"/>
      <c r="AL26" s="1" t="s">
        <v>267</v>
      </c>
      <c r="AM26" s="1" t="s">
        <v>268</v>
      </c>
      <c r="AN26" s="1" t="s">
        <v>269</v>
      </c>
      <c r="AO26" s="1">
        <v>154</v>
      </c>
      <c r="AP26" s="1"/>
      <c r="AQ26" s="1"/>
      <c r="AR26" s="1"/>
      <c r="AS26" s="1" t="s">
        <v>270</v>
      </c>
      <c r="AT26" s="1" t="s">
        <v>268</v>
      </c>
      <c r="AU26" s="1">
        <v>154</v>
      </c>
      <c r="AV26" s="1" t="s">
        <v>263</v>
      </c>
      <c r="AW26" s="1" t="s">
        <v>264</v>
      </c>
      <c r="AX26" s="1"/>
      <c r="AY26" s="1"/>
      <c r="AZ26" s="1">
        <v>15290</v>
      </c>
      <c r="BA26" s="1" t="s">
        <v>267</v>
      </c>
      <c r="BB26" s="1"/>
      <c r="BC26" s="1">
        <v>118</v>
      </c>
      <c r="BD26" s="1" t="s">
        <v>260</v>
      </c>
      <c r="BE26" s="1"/>
      <c r="BF26" s="1"/>
      <c r="BG26" s="1">
        <v>11</v>
      </c>
      <c r="BH26" s="1" t="s">
        <v>272</v>
      </c>
      <c r="BI26" s="1">
        <v>17159449</v>
      </c>
      <c r="BJ26" s="1" t="s">
        <v>273</v>
      </c>
      <c r="BK26" s="1" t="s">
        <v>295</v>
      </c>
      <c r="BL26" s="1"/>
      <c r="BM26" s="1"/>
      <c r="BN26" s="1">
        <v>351</v>
      </c>
      <c r="BO26" s="1"/>
      <c r="BP26" s="1" t="s">
        <v>494</v>
      </c>
      <c r="BQ26" s="1" t="s">
        <v>2</v>
      </c>
      <c r="BR26" s="1"/>
      <c r="BS26" s="1">
        <v>378</v>
      </c>
      <c r="BT26" s="1"/>
      <c r="BU26" s="1"/>
      <c r="BV26" s="1"/>
      <c r="BW26" s="1"/>
      <c r="BX26" s="1"/>
      <c r="BY26" s="1"/>
    </row>
    <row r="27" spans="1:77" x14ac:dyDescent="0.2">
      <c r="A27">
        <v>25</v>
      </c>
      <c r="B27" s="1" t="s">
        <v>251</v>
      </c>
      <c r="C27" s="1" t="s">
        <v>252</v>
      </c>
      <c r="D27" s="1">
        <v>27438798345</v>
      </c>
      <c r="E27" s="1">
        <v>43879834</v>
      </c>
      <c r="F27" s="1" t="s">
        <v>495</v>
      </c>
      <c r="G27" s="1" t="s">
        <v>495</v>
      </c>
      <c r="H27" s="1" t="s">
        <v>496</v>
      </c>
      <c r="I27" s="1" t="s">
        <v>136</v>
      </c>
      <c r="J27" s="1" t="s">
        <v>497</v>
      </c>
      <c r="K27" s="1" t="s">
        <v>498</v>
      </c>
      <c r="L27" s="1">
        <v>913</v>
      </c>
      <c r="M27" s="1">
        <v>6371581</v>
      </c>
      <c r="N27" s="1" t="s">
        <v>499</v>
      </c>
      <c r="O27" s="1" t="s">
        <v>259</v>
      </c>
      <c r="P27" s="1" t="s">
        <v>260</v>
      </c>
      <c r="Q27" s="1" t="s">
        <v>500</v>
      </c>
      <c r="R27" s="1" t="s">
        <v>501</v>
      </c>
      <c r="S27" s="1">
        <v>230</v>
      </c>
      <c r="T27" s="1"/>
      <c r="U27" s="1"/>
      <c r="V27" s="1"/>
      <c r="W27" s="1"/>
      <c r="X27" s="1">
        <v>1380500</v>
      </c>
      <c r="Y27" s="1">
        <v>6</v>
      </c>
      <c r="Z27" s="1">
        <v>8283000</v>
      </c>
      <c r="AA27" s="1"/>
      <c r="AB27" s="1"/>
      <c r="AC27" s="1" t="s">
        <v>263</v>
      </c>
      <c r="AD27" s="1" t="s">
        <v>264</v>
      </c>
      <c r="AE27" s="1">
        <v>25</v>
      </c>
      <c r="AF27" s="1" t="s">
        <v>265</v>
      </c>
      <c r="AG27" s="1">
        <v>6</v>
      </c>
      <c r="AH27" s="1">
        <v>5000</v>
      </c>
      <c r="AI27" s="1" t="s">
        <v>502</v>
      </c>
      <c r="AJ27" s="1"/>
      <c r="AK27" s="1"/>
      <c r="AL27" s="1" t="s">
        <v>267</v>
      </c>
      <c r="AM27" s="1" t="s">
        <v>268</v>
      </c>
      <c r="AN27" s="1" t="s">
        <v>269</v>
      </c>
      <c r="AO27" s="1">
        <v>38675</v>
      </c>
      <c r="AP27" s="1"/>
      <c r="AQ27" s="1"/>
      <c r="AR27" s="1"/>
      <c r="AS27" s="1" t="s">
        <v>270</v>
      </c>
      <c r="AT27" s="1" t="s">
        <v>268</v>
      </c>
      <c r="AU27" s="1">
        <v>38675</v>
      </c>
      <c r="AV27" s="1" t="s">
        <v>263</v>
      </c>
      <c r="AW27" s="1" t="s">
        <v>264</v>
      </c>
      <c r="AX27" s="1"/>
      <c r="AY27" s="1"/>
      <c r="AZ27" s="1">
        <v>27232</v>
      </c>
      <c r="BA27" s="1" t="s">
        <v>294</v>
      </c>
      <c r="BB27" s="1"/>
      <c r="BC27" s="1">
        <v>118</v>
      </c>
      <c r="BD27" s="1" t="s">
        <v>260</v>
      </c>
      <c r="BE27" s="1" t="s">
        <v>271</v>
      </c>
      <c r="BF27" s="1"/>
      <c r="BG27" s="1">
        <v>11</v>
      </c>
      <c r="BH27" s="1" t="s">
        <v>272</v>
      </c>
      <c r="BI27" s="1">
        <v>17159449</v>
      </c>
      <c r="BJ27" s="1" t="s">
        <v>273</v>
      </c>
      <c r="BK27" s="1" t="s">
        <v>274</v>
      </c>
      <c r="BL27" s="1"/>
      <c r="BM27" s="1"/>
      <c r="BN27" s="1">
        <v>351</v>
      </c>
      <c r="BO27" s="1"/>
      <c r="BP27" s="1" t="s">
        <v>503</v>
      </c>
      <c r="BQ27" s="1" t="s">
        <v>2</v>
      </c>
      <c r="BR27" s="1"/>
      <c r="BS27" s="1">
        <v>230</v>
      </c>
      <c r="BT27" s="1"/>
      <c r="BU27" s="1"/>
      <c r="BV27" s="1"/>
      <c r="BW27" s="1"/>
      <c r="BX27" s="1"/>
      <c r="BY27" s="1"/>
    </row>
    <row r="28" spans="1:77" x14ac:dyDescent="0.2">
      <c r="A28">
        <v>26</v>
      </c>
      <c r="B28" s="1" t="s">
        <v>251</v>
      </c>
      <c r="C28" s="1" t="s">
        <v>252</v>
      </c>
      <c r="D28" s="1">
        <v>27468901965</v>
      </c>
      <c r="E28" s="1">
        <v>46890196</v>
      </c>
      <c r="F28" s="1" t="s">
        <v>504</v>
      </c>
      <c r="G28" s="1" t="s">
        <v>505</v>
      </c>
      <c r="H28" s="1" t="s">
        <v>506</v>
      </c>
      <c r="I28" s="1" t="s">
        <v>137</v>
      </c>
      <c r="J28" s="1" t="s">
        <v>507</v>
      </c>
      <c r="K28" s="1" t="s">
        <v>508</v>
      </c>
      <c r="L28" s="1">
        <v>913</v>
      </c>
      <c r="M28" s="1">
        <v>3512224731</v>
      </c>
      <c r="N28" s="1" t="s">
        <v>509</v>
      </c>
      <c r="O28" s="1"/>
      <c r="P28" s="1" t="s">
        <v>510</v>
      </c>
      <c r="Q28" s="1" t="s">
        <v>510</v>
      </c>
      <c r="R28" s="1" t="s">
        <v>511</v>
      </c>
      <c r="S28" s="1">
        <v>123</v>
      </c>
      <c r="T28" s="1"/>
      <c r="U28" s="1"/>
      <c r="V28" s="1"/>
      <c r="W28" s="1"/>
      <c r="X28" s="1">
        <v>924000</v>
      </c>
      <c r="Y28" s="1">
        <v>6</v>
      </c>
      <c r="Z28" s="1">
        <v>5544000</v>
      </c>
      <c r="AA28" s="1"/>
      <c r="AB28" s="1"/>
      <c r="AC28" s="1" t="s">
        <v>263</v>
      </c>
      <c r="AD28" s="1" t="s">
        <v>264</v>
      </c>
      <c r="AE28" s="1">
        <v>26</v>
      </c>
      <c r="AF28" s="1" t="s">
        <v>265</v>
      </c>
      <c r="AG28" s="1">
        <v>6</v>
      </c>
      <c r="AH28" s="1"/>
      <c r="AI28" s="1" t="s">
        <v>512</v>
      </c>
      <c r="AJ28" s="1"/>
      <c r="AK28" s="1"/>
      <c r="AL28" s="1" t="s">
        <v>267</v>
      </c>
      <c r="AM28" s="1" t="s">
        <v>268</v>
      </c>
      <c r="AN28" s="1"/>
      <c r="AO28" s="1">
        <v>33163</v>
      </c>
      <c r="AP28" s="1"/>
      <c r="AQ28" s="1"/>
      <c r="AR28" s="1"/>
      <c r="AS28" s="1"/>
      <c r="AT28" s="1" t="s">
        <v>268</v>
      </c>
      <c r="AU28" s="1">
        <v>33163</v>
      </c>
      <c r="AV28" s="1" t="s">
        <v>263</v>
      </c>
      <c r="AW28" s="1" t="s">
        <v>264</v>
      </c>
      <c r="AX28" s="1"/>
      <c r="AY28" s="1"/>
      <c r="AZ28" s="1">
        <v>25069</v>
      </c>
      <c r="BA28" s="1" t="s">
        <v>294</v>
      </c>
      <c r="BB28" s="1"/>
      <c r="BC28" s="1">
        <v>118</v>
      </c>
      <c r="BD28" s="1"/>
      <c r="BE28" s="1" t="s">
        <v>271</v>
      </c>
      <c r="BF28" s="1"/>
      <c r="BG28" s="1">
        <v>11</v>
      </c>
      <c r="BH28" s="1" t="s">
        <v>272</v>
      </c>
      <c r="BI28" s="1">
        <v>17159449</v>
      </c>
      <c r="BJ28" s="1" t="s">
        <v>273</v>
      </c>
      <c r="BK28" s="1"/>
      <c r="BL28" s="1"/>
      <c r="BM28" s="1"/>
      <c r="BN28" s="1"/>
      <c r="BO28" s="1"/>
      <c r="BP28" s="1" t="s">
        <v>513</v>
      </c>
      <c r="BQ28" s="1" t="s">
        <v>2</v>
      </c>
      <c r="BR28" s="1"/>
      <c r="BS28" s="1">
        <v>123</v>
      </c>
      <c r="BT28" s="1"/>
      <c r="BU28" s="1"/>
      <c r="BV28" s="1"/>
      <c r="BW28" s="1"/>
      <c r="BX28" s="1"/>
      <c r="BY28" s="1"/>
    </row>
    <row r="29" spans="1:77" x14ac:dyDescent="0.2">
      <c r="A29">
        <v>27</v>
      </c>
      <c r="B29" s="1" t="s">
        <v>251</v>
      </c>
      <c r="C29" s="1" t="s">
        <v>252</v>
      </c>
      <c r="D29" s="1">
        <v>27421595831</v>
      </c>
      <c r="E29" s="1">
        <v>42159583</v>
      </c>
      <c r="F29" s="1" t="s">
        <v>514</v>
      </c>
      <c r="G29" s="1" t="s">
        <v>514</v>
      </c>
      <c r="H29" s="1" t="s">
        <v>515</v>
      </c>
      <c r="I29" s="1" t="s">
        <v>138</v>
      </c>
      <c r="J29" s="1" t="s">
        <v>516</v>
      </c>
      <c r="K29" s="1" t="s">
        <v>517</v>
      </c>
      <c r="L29" s="1" t="s">
        <v>257</v>
      </c>
      <c r="M29" s="1">
        <v>8150653</v>
      </c>
      <c r="N29" s="1" t="s">
        <v>518</v>
      </c>
      <c r="O29" s="1" t="s">
        <v>259</v>
      </c>
      <c r="P29" s="1" t="s">
        <v>260</v>
      </c>
      <c r="Q29" s="1" t="s">
        <v>519</v>
      </c>
      <c r="R29" s="1" t="s">
        <v>520</v>
      </c>
      <c r="S29" s="1">
        <v>687</v>
      </c>
      <c r="T29" s="1"/>
      <c r="U29" s="1"/>
      <c r="V29" s="1"/>
      <c r="W29" s="1"/>
      <c r="X29" s="1">
        <v>1380500</v>
      </c>
      <c r="Y29" s="1">
        <v>6</v>
      </c>
      <c r="Z29" s="1">
        <v>8283000</v>
      </c>
      <c r="AA29" s="1"/>
      <c r="AB29" s="1"/>
      <c r="AC29" s="1" t="s">
        <v>263</v>
      </c>
      <c r="AD29" s="1" t="s">
        <v>264</v>
      </c>
      <c r="AE29" s="1">
        <v>27</v>
      </c>
      <c r="AF29" s="1" t="s">
        <v>265</v>
      </c>
      <c r="AG29" s="1">
        <v>6</v>
      </c>
      <c r="AH29" s="1">
        <v>5000</v>
      </c>
      <c r="AI29" s="1"/>
      <c r="AJ29" s="1" t="s">
        <v>521</v>
      </c>
      <c r="AK29" s="1"/>
      <c r="AL29" s="1" t="s">
        <v>267</v>
      </c>
      <c r="AM29" s="1" t="s">
        <v>268</v>
      </c>
      <c r="AN29" s="1" t="s">
        <v>269</v>
      </c>
      <c r="AO29" s="1">
        <v>39222</v>
      </c>
      <c r="AP29" s="1"/>
      <c r="AQ29" s="1"/>
      <c r="AR29" s="1"/>
      <c r="AS29" s="1" t="s">
        <v>270</v>
      </c>
      <c r="AT29" s="1" t="s">
        <v>268</v>
      </c>
      <c r="AU29" s="1">
        <v>39222</v>
      </c>
      <c r="AV29" s="1" t="s">
        <v>263</v>
      </c>
      <c r="AW29" s="1" t="s">
        <v>264</v>
      </c>
      <c r="AX29" s="1"/>
      <c r="AY29" s="1"/>
      <c r="AZ29" s="1">
        <v>5943</v>
      </c>
      <c r="BA29" s="1" t="s">
        <v>267</v>
      </c>
      <c r="BB29" s="1"/>
      <c r="BC29" s="1">
        <v>118</v>
      </c>
      <c r="BD29" s="1" t="s">
        <v>260</v>
      </c>
      <c r="BE29" s="1" t="s">
        <v>271</v>
      </c>
      <c r="BF29" s="1"/>
      <c r="BG29" s="1">
        <v>11</v>
      </c>
      <c r="BH29" s="1" t="s">
        <v>272</v>
      </c>
      <c r="BI29" s="1">
        <v>17159449</v>
      </c>
      <c r="BJ29" s="1" t="s">
        <v>273</v>
      </c>
      <c r="BK29" s="1" t="s">
        <v>274</v>
      </c>
      <c r="BL29" s="1"/>
      <c r="BM29" s="1">
        <v>247</v>
      </c>
      <c r="BN29" s="1">
        <v>351</v>
      </c>
      <c r="BO29" s="1"/>
      <c r="BP29" s="1" t="s">
        <v>522</v>
      </c>
      <c r="BQ29" s="1" t="s">
        <v>2</v>
      </c>
      <c r="BR29" s="1"/>
      <c r="BS29" s="1">
        <v>687</v>
      </c>
      <c r="BT29" s="1"/>
      <c r="BU29" s="1"/>
      <c r="BV29" s="1"/>
      <c r="BW29" s="1"/>
      <c r="BX29" s="1"/>
      <c r="BY29" s="1"/>
    </row>
    <row r="30" spans="1:77" x14ac:dyDescent="0.2">
      <c r="A30">
        <v>28</v>
      </c>
      <c r="B30" s="1" t="s">
        <v>251</v>
      </c>
      <c r="C30" s="1" t="s">
        <v>252</v>
      </c>
      <c r="D30" s="1">
        <v>27404006865</v>
      </c>
      <c r="E30" s="1">
        <v>40400686</v>
      </c>
      <c r="F30" s="1" t="s">
        <v>514</v>
      </c>
      <c r="G30" s="1" t="s">
        <v>514</v>
      </c>
      <c r="H30" s="1" t="s">
        <v>523</v>
      </c>
      <c r="I30" s="1" t="s">
        <v>139</v>
      </c>
      <c r="J30" s="1" t="s">
        <v>524</v>
      </c>
      <c r="K30" s="1" t="s">
        <v>525</v>
      </c>
      <c r="L30" s="1" t="s">
        <v>257</v>
      </c>
      <c r="M30" s="1">
        <v>6149267</v>
      </c>
      <c r="N30" s="1" t="s">
        <v>526</v>
      </c>
      <c r="O30" s="1" t="s">
        <v>259</v>
      </c>
      <c r="P30" s="1" t="s">
        <v>260</v>
      </c>
      <c r="Q30" s="1" t="s">
        <v>527</v>
      </c>
      <c r="R30" s="1" t="s">
        <v>528</v>
      </c>
      <c r="S30" s="1" t="s">
        <v>529</v>
      </c>
      <c r="T30" s="1"/>
      <c r="U30" s="1"/>
      <c r="V30" s="1">
        <v>13</v>
      </c>
      <c r="W30" s="1">
        <v>45</v>
      </c>
      <c r="X30" s="1">
        <v>1039500</v>
      </c>
      <c r="Y30" s="1">
        <v>6</v>
      </c>
      <c r="Z30" s="1">
        <v>6237000</v>
      </c>
      <c r="AA30" s="1"/>
      <c r="AB30" s="1"/>
      <c r="AC30" s="1" t="s">
        <v>263</v>
      </c>
      <c r="AD30" s="1" t="s">
        <v>264</v>
      </c>
      <c r="AE30" s="1">
        <v>28</v>
      </c>
      <c r="AF30" s="1" t="s">
        <v>265</v>
      </c>
      <c r="AG30" s="1">
        <v>6</v>
      </c>
      <c r="AH30" s="1">
        <v>5000</v>
      </c>
      <c r="AI30" s="1"/>
      <c r="AJ30" s="1" t="s">
        <v>530</v>
      </c>
      <c r="AK30" s="1"/>
      <c r="AL30" s="1" t="s">
        <v>267</v>
      </c>
      <c r="AM30" s="1" t="s">
        <v>268</v>
      </c>
      <c r="AN30" s="1" t="s">
        <v>269</v>
      </c>
      <c r="AO30" s="1">
        <v>39229</v>
      </c>
      <c r="AP30" s="1"/>
      <c r="AQ30" s="1"/>
      <c r="AR30" s="1"/>
      <c r="AS30" s="1" t="s">
        <v>392</v>
      </c>
      <c r="AT30" s="1" t="s">
        <v>268</v>
      </c>
      <c r="AU30" s="1">
        <v>39229</v>
      </c>
      <c r="AV30" s="1" t="s">
        <v>263</v>
      </c>
      <c r="AW30" s="1" t="s">
        <v>264</v>
      </c>
      <c r="AX30" s="1"/>
      <c r="AY30" s="1"/>
      <c r="AZ30" s="1">
        <v>6089</v>
      </c>
      <c r="BA30" s="1" t="s">
        <v>267</v>
      </c>
      <c r="BB30" s="1"/>
      <c r="BC30" s="1">
        <v>118</v>
      </c>
      <c r="BD30" s="1" t="s">
        <v>260</v>
      </c>
      <c r="BE30" s="1" t="s">
        <v>271</v>
      </c>
      <c r="BF30" s="1"/>
      <c r="BG30" s="1">
        <v>11</v>
      </c>
      <c r="BH30" s="1" t="s">
        <v>272</v>
      </c>
      <c r="BI30" s="1">
        <v>17159449</v>
      </c>
      <c r="BJ30" s="1" t="s">
        <v>273</v>
      </c>
      <c r="BK30" s="1" t="s">
        <v>274</v>
      </c>
      <c r="BL30" s="1"/>
      <c r="BM30" s="1">
        <v>247</v>
      </c>
      <c r="BN30" s="1">
        <v>351</v>
      </c>
      <c r="BO30" s="1"/>
      <c r="BP30" s="1" t="s">
        <v>531</v>
      </c>
      <c r="BQ30" s="1" t="s">
        <v>2</v>
      </c>
      <c r="BR30" s="1"/>
      <c r="BS30" s="1" t="s">
        <v>529</v>
      </c>
      <c r="BT30" s="1"/>
      <c r="BU30" s="1"/>
      <c r="BV30" s="1"/>
      <c r="BW30" s="1"/>
      <c r="BX30" s="1"/>
      <c r="BY30" s="1"/>
    </row>
    <row r="31" spans="1:77" x14ac:dyDescent="0.2">
      <c r="A31">
        <v>29</v>
      </c>
      <c r="B31" s="1" t="s">
        <v>251</v>
      </c>
      <c r="C31" s="1" t="s">
        <v>252</v>
      </c>
      <c r="D31" s="1">
        <v>20355720439</v>
      </c>
      <c r="E31" s="1">
        <v>35572043</v>
      </c>
      <c r="F31" s="1" t="s">
        <v>532</v>
      </c>
      <c r="G31" s="1" t="s">
        <v>533</v>
      </c>
      <c r="H31" s="1" t="s">
        <v>534</v>
      </c>
      <c r="I31" s="1" t="s">
        <v>140</v>
      </c>
      <c r="J31" s="1" t="s">
        <v>535</v>
      </c>
      <c r="K31" s="1" t="s">
        <v>536</v>
      </c>
      <c r="L31" s="1" t="s">
        <v>257</v>
      </c>
      <c r="M31" s="1">
        <v>3512583009</v>
      </c>
      <c r="N31" s="1" t="s">
        <v>537</v>
      </c>
      <c r="O31" s="1" t="s">
        <v>259</v>
      </c>
      <c r="P31" s="1" t="s">
        <v>260</v>
      </c>
      <c r="Q31" s="1" t="s">
        <v>446</v>
      </c>
      <c r="R31" s="1" t="s">
        <v>372</v>
      </c>
      <c r="S31" s="1">
        <v>2726</v>
      </c>
      <c r="T31" s="1"/>
      <c r="U31" s="1"/>
      <c r="V31" s="1"/>
      <c r="W31" s="1"/>
      <c r="X31" s="1">
        <v>1039500</v>
      </c>
      <c r="Y31" s="1">
        <v>6</v>
      </c>
      <c r="Z31" s="1">
        <v>6237000</v>
      </c>
      <c r="AA31" s="1"/>
      <c r="AB31" s="1"/>
      <c r="AC31" s="1" t="s">
        <v>263</v>
      </c>
      <c r="AD31" s="1" t="s">
        <v>264</v>
      </c>
      <c r="AE31" s="1">
        <v>29</v>
      </c>
      <c r="AF31" s="1" t="s">
        <v>265</v>
      </c>
      <c r="AG31" s="1">
        <v>6</v>
      </c>
      <c r="AH31" s="1"/>
      <c r="AI31" s="1"/>
      <c r="AJ31" s="1">
        <v>3732968</v>
      </c>
      <c r="AK31" s="1"/>
      <c r="AL31" s="1" t="s">
        <v>267</v>
      </c>
      <c r="AM31" s="1" t="s">
        <v>268</v>
      </c>
      <c r="AN31" s="1"/>
      <c r="AO31" s="1">
        <v>36377</v>
      </c>
      <c r="AP31" s="1"/>
      <c r="AQ31" s="1"/>
      <c r="AR31" s="1"/>
      <c r="AS31" s="1"/>
      <c r="AT31" s="1" t="s">
        <v>268</v>
      </c>
      <c r="AU31" s="1">
        <v>36377</v>
      </c>
      <c r="AV31" s="1" t="s">
        <v>263</v>
      </c>
      <c r="AW31" s="1" t="s">
        <v>264</v>
      </c>
      <c r="AX31" s="1"/>
      <c r="AY31" s="1"/>
      <c r="AZ31" s="1">
        <v>6093</v>
      </c>
      <c r="BA31" s="1" t="s">
        <v>267</v>
      </c>
      <c r="BB31" s="1"/>
      <c r="BC31" s="1">
        <v>118</v>
      </c>
      <c r="BD31" s="1"/>
      <c r="BE31" s="1" t="s">
        <v>271</v>
      </c>
      <c r="BF31" s="1"/>
      <c r="BG31" s="1">
        <v>11</v>
      </c>
      <c r="BH31" s="1" t="s">
        <v>272</v>
      </c>
      <c r="BI31" s="1">
        <v>17159449</v>
      </c>
      <c r="BJ31" s="1" t="s">
        <v>273</v>
      </c>
      <c r="BK31" s="1"/>
      <c r="BL31" s="1"/>
      <c r="BM31" s="1">
        <v>390</v>
      </c>
      <c r="BN31" s="1"/>
      <c r="BO31" s="1"/>
      <c r="BP31" s="1" t="s">
        <v>538</v>
      </c>
      <c r="BQ31" s="1" t="s">
        <v>2</v>
      </c>
      <c r="BR31" s="1"/>
      <c r="BS31" s="1">
        <v>2726</v>
      </c>
      <c r="BT31" s="1"/>
      <c r="BU31" s="1"/>
      <c r="BV31" s="1"/>
      <c r="BW31" s="1"/>
      <c r="BX31" s="1"/>
      <c r="BY31" s="1"/>
    </row>
    <row r="32" spans="1:77" x14ac:dyDescent="0.2">
      <c r="A32">
        <v>30</v>
      </c>
      <c r="B32" s="1" t="s">
        <v>251</v>
      </c>
      <c r="C32" s="1" t="s">
        <v>252</v>
      </c>
      <c r="D32" s="1">
        <v>27259398512</v>
      </c>
      <c r="E32" s="1">
        <v>25939851</v>
      </c>
      <c r="F32" s="1" t="s">
        <v>539</v>
      </c>
      <c r="G32" s="1" t="s">
        <v>540</v>
      </c>
      <c r="H32" s="1" t="s">
        <v>541</v>
      </c>
      <c r="I32" s="1" t="s">
        <v>141</v>
      </c>
      <c r="J32" s="1" t="s">
        <v>542</v>
      </c>
      <c r="K32" s="1" t="s">
        <v>543</v>
      </c>
      <c r="L32" s="1" t="s">
        <v>257</v>
      </c>
      <c r="M32" s="1">
        <v>3516504489</v>
      </c>
      <c r="N32" s="1" t="s">
        <v>544</v>
      </c>
      <c r="O32" s="1" t="s">
        <v>259</v>
      </c>
      <c r="P32" s="1" t="s">
        <v>260</v>
      </c>
      <c r="Q32" s="1" t="s">
        <v>545</v>
      </c>
      <c r="R32" s="1" t="s">
        <v>546</v>
      </c>
      <c r="S32" s="1">
        <v>292</v>
      </c>
      <c r="T32" s="1"/>
      <c r="U32" s="1"/>
      <c r="V32" s="1"/>
      <c r="W32" s="1"/>
      <c r="X32" s="1">
        <v>1039500</v>
      </c>
      <c r="Y32" s="1">
        <v>6</v>
      </c>
      <c r="Z32" s="1">
        <v>6237000</v>
      </c>
      <c r="AA32" s="1"/>
      <c r="AB32" s="1"/>
      <c r="AC32" s="1" t="s">
        <v>263</v>
      </c>
      <c r="AD32" s="1" t="s">
        <v>264</v>
      </c>
      <c r="AE32" s="1">
        <v>30</v>
      </c>
      <c r="AF32" s="1" t="s">
        <v>265</v>
      </c>
      <c r="AG32" s="1">
        <v>6</v>
      </c>
      <c r="AH32" s="1"/>
      <c r="AI32" s="1"/>
      <c r="AJ32" s="1" t="s">
        <v>547</v>
      </c>
      <c r="AK32" s="1"/>
      <c r="AL32" s="1" t="s">
        <v>267</v>
      </c>
      <c r="AM32" s="1" t="s">
        <v>268</v>
      </c>
      <c r="AN32" s="1"/>
      <c r="AO32" s="1">
        <v>36378</v>
      </c>
      <c r="AP32" s="1"/>
      <c r="AQ32" s="1"/>
      <c r="AR32" s="1"/>
      <c r="AS32" s="1"/>
      <c r="AT32" s="1" t="s">
        <v>268</v>
      </c>
      <c r="AU32" s="1">
        <v>36378</v>
      </c>
      <c r="AV32" s="1" t="s">
        <v>263</v>
      </c>
      <c r="AW32" s="1" t="s">
        <v>264</v>
      </c>
      <c r="AX32" s="1"/>
      <c r="AY32" s="1"/>
      <c r="AZ32" s="1">
        <v>6094</v>
      </c>
      <c r="BA32" s="1" t="s">
        <v>267</v>
      </c>
      <c r="BB32" s="1"/>
      <c r="BC32" s="1">
        <v>118</v>
      </c>
      <c r="BD32" s="1"/>
      <c r="BE32" s="1" t="s">
        <v>271</v>
      </c>
      <c r="BF32" s="1"/>
      <c r="BG32" s="1">
        <v>11</v>
      </c>
      <c r="BH32" s="1" t="s">
        <v>272</v>
      </c>
      <c r="BI32" s="1">
        <v>17159449</v>
      </c>
      <c r="BJ32" s="1" t="s">
        <v>273</v>
      </c>
      <c r="BK32" s="1"/>
      <c r="BL32" s="1"/>
      <c r="BM32" s="1">
        <v>247</v>
      </c>
      <c r="BN32" s="1"/>
      <c r="BO32" s="1"/>
      <c r="BP32" s="1" t="s">
        <v>548</v>
      </c>
      <c r="BQ32" s="1" t="s">
        <v>2</v>
      </c>
      <c r="BR32" s="1"/>
      <c r="BS32" s="1">
        <v>292</v>
      </c>
      <c r="BT32" s="1"/>
      <c r="BU32" s="1"/>
      <c r="BV32" s="1"/>
      <c r="BW32" s="1"/>
      <c r="BX32" s="1"/>
      <c r="BY32" s="1"/>
    </row>
    <row r="33" spans="1:77" x14ac:dyDescent="0.2">
      <c r="A33">
        <v>31</v>
      </c>
      <c r="B33" s="1" t="s">
        <v>251</v>
      </c>
      <c r="C33" s="1" t="s">
        <v>252</v>
      </c>
      <c r="D33" s="1">
        <v>20336681775</v>
      </c>
      <c r="E33" s="1">
        <v>33668177</v>
      </c>
      <c r="F33" s="1" t="s">
        <v>549</v>
      </c>
      <c r="G33" s="1" t="s">
        <v>550</v>
      </c>
      <c r="H33" s="1" t="s">
        <v>551</v>
      </c>
      <c r="I33" s="1" t="s">
        <v>142</v>
      </c>
      <c r="J33" s="1" t="s">
        <v>552</v>
      </c>
      <c r="K33" s="1" t="s">
        <v>553</v>
      </c>
      <c r="L33" s="1">
        <v>913</v>
      </c>
      <c r="M33" s="1">
        <v>3513261415</v>
      </c>
      <c r="N33" s="1"/>
      <c r="O33" s="1"/>
      <c r="P33" s="1" t="s">
        <v>260</v>
      </c>
      <c r="Q33" s="1" t="s">
        <v>554</v>
      </c>
      <c r="R33" s="1" t="s">
        <v>321</v>
      </c>
      <c r="S33" s="1">
        <v>263</v>
      </c>
      <c r="T33" s="1" t="s">
        <v>555</v>
      </c>
      <c r="U33" s="1" t="s">
        <v>268</v>
      </c>
      <c r="V33" s="1"/>
      <c r="W33" s="1"/>
      <c r="X33" s="1">
        <v>1380500</v>
      </c>
      <c r="Y33" s="1">
        <v>6</v>
      </c>
      <c r="Z33" s="1">
        <v>8283000</v>
      </c>
      <c r="AA33" s="1"/>
      <c r="AB33" s="1"/>
      <c r="AC33" s="1" t="s">
        <v>263</v>
      </c>
      <c r="AD33" s="1" t="s">
        <v>264</v>
      </c>
      <c r="AE33" s="1">
        <v>31</v>
      </c>
      <c r="AF33" s="1" t="s">
        <v>265</v>
      </c>
      <c r="AG33" s="1">
        <v>6</v>
      </c>
      <c r="AH33" s="1"/>
      <c r="AI33" s="1"/>
      <c r="AJ33" s="1"/>
      <c r="AK33" s="1"/>
      <c r="AL33" s="1" t="s">
        <v>267</v>
      </c>
      <c r="AM33" s="1" t="s">
        <v>268</v>
      </c>
      <c r="AN33" s="1"/>
      <c r="AO33" s="1">
        <v>37308</v>
      </c>
      <c r="AP33" s="1"/>
      <c r="AQ33" s="1"/>
      <c r="AR33" s="1"/>
      <c r="AS33" s="1"/>
      <c r="AT33" s="1" t="s">
        <v>268</v>
      </c>
      <c r="AU33" s="1">
        <v>37308</v>
      </c>
      <c r="AV33" s="1" t="s">
        <v>263</v>
      </c>
      <c r="AW33" s="1" t="s">
        <v>264</v>
      </c>
      <c r="AX33" s="1"/>
      <c r="AY33" s="1"/>
      <c r="AZ33" s="1">
        <v>15215</v>
      </c>
      <c r="BA33" s="1" t="s">
        <v>267</v>
      </c>
      <c r="BB33" s="1"/>
      <c r="BC33" s="1">
        <v>118</v>
      </c>
      <c r="BD33" s="1"/>
      <c r="BE33" s="1" t="s">
        <v>271</v>
      </c>
      <c r="BF33" s="1"/>
      <c r="BG33" s="1">
        <v>11</v>
      </c>
      <c r="BH33" s="1" t="s">
        <v>272</v>
      </c>
      <c r="BI33" s="1">
        <v>17159449</v>
      </c>
      <c r="BJ33" s="1" t="s">
        <v>273</v>
      </c>
      <c r="BK33" s="1"/>
      <c r="BL33" s="1"/>
      <c r="BM33" s="1"/>
      <c r="BN33" s="1"/>
      <c r="BO33" s="1"/>
      <c r="BP33" s="1" t="s">
        <v>556</v>
      </c>
      <c r="BQ33" s="1" t="s">
        <v>2</v>
      </c>
      <c r="BR33" s="1"/>
      <c r="BS33" s="1">
        <v>263</v>
      </c>
      <c r="BT33" s="1"/>
      <c r="BU33" s="1"/>
      <c r="BV33" s="1"/>
      <c r="BW33" s="1"/>
      <c r="BX33" s="1"/>
      <c r="BY33" s="1"/>
    </row>
    <row r="34" spans="1:77" x14ac:dyDescent="0.2">
      <c r="A34">
        <v>32</v>
      </c>
      <c r="B34" s="1" t="s">
        <v>251</v>
      </c>
      <c r="C34" s="1" t="s">
        <v>252</v>
      </c>
      <c r="D34" s="1">
        <v>20266517018</v>
      </c>
      <c r="E34" s="1">
        <v>26651701</v>
      </c>
      <c r="F34" s="1" t="s">
        <v>557</v>
      </c>
      <c r="G34" s="1" t="s">
        <v>558</v>
      </c>
      <c r="H34" s="1" t="s">
        <v>559</v>
      </c>
      <c r="I34" s="1" t="s">
        <v>143</v>
      </c>
      <c r="J34" s="1" t="s">
        <v>560</v>
      </c>
      <c r="K34" s="1" t="s">
        <v>561</v>
      </c>
      <c r="L34" s="1">
        <v>913</v>
      </c>
      <c r="M34" s="1">
        <v>3518042360</v>
      </c>
      <c r="N34" s="1" t="s">
        <v>562</v>
      </c>
      <c r="O34" s="1"/>
      <c r="P34" s="1" t="s">
        <v>563</v>
      </c>
      <c r="Q34" s="1" t="s">
        <v>510</v>
      </c>
      <c r="R34" s="1" t="s">
        <v>564</v>
      </c>
      <c r="S34" s="1">
        <v>123</v>
      </c>
      <c r="T34" s="1"/>
      <c r="U34" s="1"/>
      <c r="V34" s="1"/>
      <c r="W34" s="1"/>
      <c r="X34" s="1">
        <v>924000</v>
      </c>
      <c r="Y34" s="1">
        <v>6</v>
      </c>
      <c r="Z34" s="1">
        <v>5544000</v>
      </c>
      <c r="AA34" s="1"/>
      <c r="AB34" s="1"/>
      <c r="AC34" s="1" t="s">
        <v>263</v>
      </c>
      <c r="AD34" s="1" t="s">
        <v>264</v>
      </c>
      <c r="AE34" s="1">
        <v>32</v>
      </c>
      <c r="AF34" s="1" t="s">
        <v>265</v>
      </c>
      <c r="AG34" s="1">
        <v>6</v>
      </c>
      <c r="AH34" s="1"/>
      <c r="AI34" s="1" t="s">
        <v>565</v>
      </c>
      <c r="AJ34" s="1"/>
      <c r="AK34" s="1"/>
      <c r="AL34" s="1" t="s">
        <v>267</v>
      </c>
      <c r="AM34" s="1" t="s">
        <v>268</v>
      </c>
      <c r="AN34" s="1"/>
      <c r="AO34" s="1">
        <v>33164</v>
      </c>
      <c r="AP34" s="1"/>
      <c r="AQ34" s="1"/>
      <c r="AR34" s="1"/>
      <c r="AS34" s="1"/>
      <c r="AT34" s="1" t="s">
        <v>268</v>
      </c>
      <c r="AU34" s="1">
        <v>33164</v>
      </c>
      <c r="AV34" s="1" t="s">
        <v>263</v>
      </c>
      <c r="AW34" s="1" t="s">
        <v>264</v>
      </c>
      <c r="AX34" s="1"/>
      <c r="AY34" s="1"/>
      <c r="AZ34" s="1">
        <v>25070</v>
      </c>
      <c r="BA34" s="1" t="s">
        <v>294</v>
      </c>
      <c r="BB34" s="1"/>
      <c r="BC34" s="1">
        <v>118</v>
      </c>
      <c r="BD34" s="1"/>
      <c r="BE34" s="1" t="s">
        <v>271</v>
      </c>
      <c r="BF34" s="1"/>
      <c r="BG34" s="1">
        <v>11</v>
      </c>
      <c r="BH34" s="1" t="s">
        <v>272</v>
      </c>
      <c r="BI34" s="1">
        <v>17159449</v>
      </c>
      <c r="BJ34" s="1" t="s">
        <v>273</v>
      </c>
      <c r="BK34" s="1"/>
      <c r="BL34" s="1"/>
      <c r="BM34" s="1"/>
      <c r="BN34" s="1"/>
      <c r="BO34" s="1"/>
      <c r="BP34" s="1" t="s">
        <v>566</v>
      </c>
      <c r="BQ34" s="1" t="s">
        <v>2</v>
      </c>
      <c r="BR34" s="1"/>
      <c r="BS34" s="1">
        <v>123</v>
      </c>
      <c r="BT34" s="1"/>
      <c r="BU34" s="1"/>
      <c r="BV34" s="1"/>
      <c r="BW34" s="1"/>
      <c r="BX34" s="1"/>
      <c r="BY34" s="1"/>
    </row>
    <row r="35" spans="1:77" x14ac:dyDescent="0.2">
      <c r="A35">
        <v>33</v>
      </c>
      <c r="B35" s="1" t="s">
        <v>251</v>
      </c>
      <c r="C35" s="1" t="s">
        <v>252</v>
      </c>
      <c r="D35" s="1">
        <v>20129965933</v>
      </c>
      <c r="E35" s="1">
        <v>12996593</v>
      </c>
      <c r="F35" s="1" t="s">
        <v>567</v>
      </c>
      <c r="G35" s="1" t="s">
        <v>568</v>
      </c>
      <c r="H35" s="1" t="s">
        <v>569</v>
      </c>
      <c r="I35" s="1" t="s">
        <v>144</v>
      </c>
      <c r="J35" s="1" t="s">
        <v>570</v>
      </c>
      <c r="K35" s="1" t="s">
        <v>571</v>
      </c>
      <c r="L35" s="1" t="s">
        <v>257</v>
      </c>
      <c r="M35" s="1">
        <v>3513000344</v>
      </c>
      <c r="N35" s="1" t="s">
        <v>572</v>
      </c>
      <c r="O35" s="1"/>
      <c r="P35" s="1" t="s">
        <v>260</v>
      </c>
      <c r="Q35" s="1" t="s">
        <v>573</v>
      </c>
      <c r="R35" s="1" t="s">
        <v>574</v>
      </c>
      <c r="S35" s="1">
        <v>1228</v>
      </c>
      <c r="T35" s="1"/>
      <c r="U35" s="1"/>
      <c r="V35" s="1"/>
      <c r="W35" s="1"/>
      <c r="X35" s="1">
        <v>1155000</v>
      </c>
      <c r="Y35" s="1">
        <v>6</v>
      </c>
      <c r="Z35" s="1">
        <v>6930000</v>
      </c>
      <c r="AA35" s="1"/>
      <c r="AB35" s="1"/>
      <c r="AC35" s="1" t="s">
        <v>263</v>
      </c>
      <c r="AD35" s="1" t="s">
        <v>264</v>
      </c>
      <c r="AE35" s="1">
        <v>33</v>
      </c>
      <c r="AF35" s="1" t="s">
        <v>265</v>
      </c>
      <c r="AG35" s="1">
        <v>6</v>
      </c>
      <c r="AH35" s="1"/>
      <c r="AI35" s="1"/>
      <c r="AJ35" s="1" t="s">
        <v>575</v>
      </c>
      <c r="AK35" s="1"/>
      <c r="AL35" s="1" t="s">
        <v>267</v>
      </c>
      <c r="AM35" s="1" t="s">
        <v>268</v>
      </c>
      <c r="AN35" s="1"/>
      <c r="AO35" s="1">
        <v>36379</v>
      </c>
      <c r="AP35" s="1"/>
      <c r="AQ35" s="1"/>
      <c r="AR35" s="1"/>
      <c r="AS35" s="1"/>
      <c r="AT35" s="1" t="s">
        <v>268</v>
      </c>
      <c r="AU35" s="1">
        <v>36379</v>
      </c>
      <c r="AV35" s="1" t="s">
        <v>263</v>
      </c>
      <c r="AW35" s="1" t="s">
        <v>264</v>
      </c>
      <c r="AX35" s="1"/>
      <c r="AY35" s="1"/>
      <c r="AZ35" s="1">
        <v>5968</v>
      </c>
      <c r="BA35" s="1" t="s">
        <v>267</v>
      </c>
      <c r="BB35" s="1"/>
      <c r="BC35" s="1">
        <v>118</v>
      </c>
      <c r="BD35" s="1"/>
      <c r="BE35" s="1" t="s">
        <v>271</v>
      </c>
      <c r="BF35" s="1"/>
      <c r="BG35" s="1">
        <v>11</v>
      </c>
      <c r="BH35" s="1" t="s">
        <v>272</v>
      </c>
      <c r="BI35" s="1">
        <v>17159449</v>
      </c>
      <c r="BJ35" s="1" t="s">
        <v>273</v>
      </c>
      <c r="BK35" s="1"/>
      <c r="BL35" s="1"/>
      <c r="BM35" s="1">
        <v>247</v>
      </c>
      <c r="BN35" s="1"/>
      <c r="BO35" s="1"/>
      <c r="BP35" s="1" t="s">
        <v>576</v>
      </c>
      <c r="BQ35" s="1" t="s">
        <v>2</v>
      </c>
      <c r="BR35" s="1"/>
      <c r="BS35" s="1">
        <v>1228</v>
      </c>
      <c r="BT35" s="1"/>
      <c r="BU35" s="1"/>
      <c r="BV35" s="1"/>
      <c r="BW35" s="1"/>
      <c r="BX35" s="1"/>
      <c r="BY35" s="1"/>
    </row>
    <row r="36" spans="1:77" x14ac:dyDescent="0.2">
      <c r="A36">
        <v>34</v>
      </c>
      <c r="B36" s="1" t="s">
        <v>251</v>
      </c>
      <c r="C36" s="1" t="s">
        <v>252</v>
      </c>
      <c r="D36" s="1">
        <v>27361435406</v>
      </c>
      <c r="E36" s="1">
        <v>36143540</v>
      </c>
      <c r="F36" s="1" t="s">
        <v>577</v>
      </c>
      <c r="G36" s="1" t="s">
        <v>577</v>
      </c>
      <c r="H36" s="1" t="s">
        <v>578</v>
      </c>
      <c r="I36" s="1" t="s">
        <v>145</v>
      </c>
      <c r="J36" s="1" t="s">
        <v>579</v>
      </c>
      <c r="K36" s="1" t="s">
        <v>580</v>
      </c>
      <c r="L36" s="1">
        <v>913</v>
      </c>
      <c r="M36" s="1">
        <v>3486911</v>
      </c>
      <c r="N36" s="1" t="s">
        <v>581</v>
      </c>
      <c r="O36" s="1" t="s">
        <v>259</v>
      </c>
      <c r="P36" s="1" t="s">
        <v>260</v>
      </c>
      <c r="Q36" s="1" t="s">
        <v>582</v>
      </c>
      <c r="R36" s="1" t="s">
        <v>583</v>
      </c>
      <c r="S36" s="1">
        <v>169</v>
      </c>
      <c r="T36" s="1"/>
      <c r="U36" s="1">
        <v>4</v>
      </c>
      <c r="V36" s="1"/>
      <c r="W36" s="1"/>
      <c r="X36" s="1">
        <v>1039500</v>
      </c>
      <c r="Y36" s="1">
        <v>6</v>
      </c>
      <c r="Z36" s="1">
        <v>6237000</v>
      </c>
      <c r="AA36" s="1"/>
      <c r="AB36" s="1"/>
      <c r="AC36" s="1" t="s">
        <v>263</v>
      </c>
      <c r="AD36" s="1" t="s">
        <v>264</v>
      </c>
      <c r="AE36" s="1">
        <v>34</v>
      </c>
      <c r="AF36" s="1" t="s">
        <v>265</v>
      </c>
      <c r="AG36" s="1">
        <v>6</v>
      </c>
      <c r="AH36" s="1">
        <v>5014</v>
      </c>
      <c r="AI36" s="1" t="s">
        <v>584</v>
      </c>
      <c r="AJ36" s="1"/>
      <c r="AK36" s="1"/>
      <c r="AL36" s="1" t="s">
        <v>267</v>
      </c>
      <c r="AM36" s="1" t="s">
        <v>268</v>
      </c>
      <c r="AN36" s="1" t="s">
        <v>269</v>
      </c>
      <c r="AO36" s="1">
        <v>38429</v>
      </c>
      <c r="AP36" s="1"/>
      <c r="AQ36" s="1"/>
      <c r="AR36" s="1"/>
      <c r="AS36" s="1" t="s">
        <v>270</v>
      </c>
      <c r="AT36" s="1" t="s">
        <v>268</v>
      </c>
      <c r="AU36" s="1">
        <v>38429</v>
      </c>
      <c r="AV36" s="1" t="s">
        <v>263</v>
      </c>
      <c r="AW36" s="1" t="s">
        <v>264</v>
      </c>
      <c r="AX36" s="1"/>
      <c r="AY36" s="1"/>
      <c r="AZ36" s="1">
        <v>26671</v>
      </c>
      <c r="BA36" s="1" t="s">
        <v>294</v>
      </c>
      <c r="BB36" s="1"/>
      <c r="BC36" s="1">
        <v>118</v>
      </c>
      <c r="BD36" s="1" t="s">
        <v>260</v>
      </c>
      <c r="BE36" s="1" t="s">
        <v>271</v>
      </c>
      <c r="BF36" s="1"/>
      <c r="BG36" s="1">
        <v>11</v>
      </c>
      <c r="BH36" s="1" t="s">
        <v>272</v>
      </c>
      <c r="BI36" s="1">
        <v>17159449</v>
      </c>
      <c r="BJ36" s="1" t="s">
        <v>273</v>
      </c>
      <c r="BK36" s="1" t="s">
        <v>274</v>
      </c>
      <c r="BL36" s="1"/>
      <c r="BM36" s="1"/>
      <c r="BN36" s="1">
        <v>351</v>
      </c>
      <c r="BO36" s="1"/>
      <c r="BP36" s="1" t="s">
        <v>585</v>
      </c>
      <c r="BQ36" s="1" t="s">
        <v>2</v>
      </c>
      <c r="BR36" s="1"/>
      <c r="BS36" s="1">
        <v>169</v>
      </c>
      <c r="BT36" s="1"/>
      <c r="BU36" s="1"/>
      <c r="BV36" s="1"/>
      <c r="BW36" s="1"/>
      <c r="BX36" s="1"/>
      <c r="BY36" s="1"/>
    </row>
    <row r="37" spans="1:77" x14ac:dyDescent="0.2">
      <c r="A37">
        <v>35</v>
      </c>
      <c r="B37" s="1" t="s">
        <v>251</v>
      </c>
      <c r="C37" s="1" t="s">
        <v>252</v>
      </c>
      <c r="D37" s="1">
        <v>27186076198</v>
      </c>
      <c r="E37" s="1">
        <v>18607619</v>
      </c>
      <c r="F37" s="1" t="s">
        <v>586</v>
      </c>
      <c r="G37" s="1" t="s">
        <v>586</v>
      </c>
      <c r="H37" s="1" t="s">
        <v>587</v>
      </c>
      <c r="I37" s="1" t="s">
        <v>146</v>
      </c>
      <c r="J37" s="1" t="s">
        <v>588</v>
      </c>
      <c r="K37" s="1" t="s">
        <v>589</v>
      </c>
      <c r="L37" s="1">
        <v>913</v>
      </c>
      <c r="M37" s="1">
        <v>5779654</v>
      </c>
      <c r="N37" s="1" t="s">
        <v>590</v>
      </c>
      <c r="O37" s="1" t="s">
        <v>259</v>
      </c>
      <c r="P37" s="1" t="s">
        <v>260</v>
      </c>
      <c r="Q37" s="1" t="s">
        <v>591</v>
      </c>
      <c r="R37" s="1" t="s">
        <v>592</v>
      </c>
      <c r="S37" s="1">
        <v>1715</v>
      </c>
      <c r="T37" s="1"/>
      <c r="U37" s="1"/>
      <c r="V37" s="1"/>
      <c r="W37" s="1"/>
      <c r="X37" s="1">
        <v>1380500</v>
      </c>
      <c r="Y37" s="1">
        <v>6</v>
      </c>
      <c r="Z37" s="1">
        <v>8283000</v>
      </c>
      <c r="AA37" s="1"/>
      <c r="AB37" s="1"/>
      <c r="AC37" s="1" t="s">
        <v>263</v>
      </c>
      <c r="AD37" s="1" t="s">
        <v>264</v>
      </c>
      <c r="AE37" s="1">
        <v>35</v>
      </c>
      <c r="AF37" s="1" t="s">
        <v>265</v>
      </c>
      <c r="AG37" s="1">
        <v>6</v>
      </c>
      <c r="AH37" s="1">
        <v>5000</v>
      </c>
      <c r="AI37" s="1" t="s">
        <v>593</v>
      </c>
      <c r="AJ37" s="1"/>
      <c r="AK37" s="1"/>
      <c r="AL37" s="1" t="s">
        <v>267</v>
      </c>
      <c r="AM37" s="1" t="s">
        <v>268</v>
      </c>
      <c r="AN37" s="1" t="s">
        <v>269</v>
      </c>
      <c r="AO37" s="1">
        <v>39003</v>
      </c>
      <c r="AP37" s="1"/>
      <c r="AQ37" s="1"/>
      <c r="AR37" s="1"/>
      <c r="AS37" s="1" t="s">
        <v>270</v>
      </c>
      <c r="AT37" s="1" t="s">
        <v>268</v>
      </c>
      <c r="AU37" s="1">
        <v>39003</v>
      </c>
      <c r="AV37" s="1" t="s">
        <v>263</v>
      </c>
      <c r="AW37" s="1" t="s">
        <v>264</v>
      </c>
      <c r="AX37" s="1"/>
      <c r="AY37" s="1"/>
      <c r="AZ37" s="1">
        <v>27393</v>
      </c>
      <c r="BA37" s="1" t="s">
        <v>294</v>
      </c>
      <c r="BB37" s="1"/>
      <c r="BC37" s="1">
        <v>118</v>
      </c>
      <c r="BD37" s="1" t="s">
        <v>260</v>
      </c>
      <c r="BE37" s="1" t="s">
        <v>271</v>
      </c>
      <c r="BF37" s="1"/>
      <c r="BG37" s="1">
        <v>11</v>
      </c>
      <c r="BH37" s="1" t="s">
        <v>272</v>
      </c>
      <c r="BI37" s="1">
        <v>17159449</v>
      </c>
      <c r="BJ37" s="1" t="s">
        <v>273</v>
      </c>
      <c r="BK37" s="1" t="s">
        <v>274</v>
      </c>
      <c r="BL37" s="1"/>
      <c r="BM37" s="1"/>
      <c r="BN37" s="1">
        <v>341</v>
      </c>
      <c r="BO37" s="1"/>
      <c r="BP37" s="1" t="s">
        <v>594</v>
      </c>
      <c r="BQ37" s="1" t="s">
        <v>2</v>
      </c>
      <c r="BR37" s="1"/>
      <c r="BS37" s="1">
        <v>1715</v>
      </c>
      <c r="BT37" s="1"/>
      <c r="BU37" s="1"/>
      <c r="BV37" s="1"/>
      <c r="BW37" s="1"/>
      <c r="BX37" s="1"/>
      <c r="BY37" s="1"/>
    </row>
    <row r="38" spans="1:77" x14ac:dyDescent="0.2">
      <c r="A38">
        <v>36</v>
      </c>
      <c r="B38" s="1" t="s">
        <v>251</v>
      </c>
      <c r="C38" s="1" t="s">
        <v>252</v>
      </c>
      <c r="D38" s="1">
        <v>20339407666</v>
      </c>
      <c r="E38" s="1">
        <v>33940766</v>
      </c>
      <c r="F38" s="1" t="s">
        <v>595</v>
      </c>
      <c r="G38" s="1" t="s">
        <v>595</v>
      </c>
      <c r="H38" s="1" t="s">
        <v>596</v>
      </c>
      <c r="I38" s="1" t="s">
        <v>147</v>
      </c>
      <c r="J38" s="1" t="s">
        <v>597</v>
      </c>
      <c r="K38" s="1" t="s">
        <v>598</v>
      </c>
      <c r="L38" s="1" t="s">
        <v>257</v>
      </c>
      <c r="M38" s="1">
        <v>8015532</v>
      </c>
      <c r="N38" s="1" t="s">
        <v>599</v>
      </c>
      <c r="O38" s="1" t="s">
        <v>259</v>
      </c>
      <c r="P38" s="1" t="s">
        <v>260</v>
      </c>
      <c r="Q38" s="1" t="s">
        <v>600</v>
      </c>
      <c r="R38" s="1" t="s">
        <v>601</v>
      </c>
      <c r="S38" s="1">
        <v>5580</v>
      </c>
      <c r="T38" s="1"/>
      <c r="U38" s="1"/>
      <c r="V38" s="1"/>
      <c r="W38" s="1"/>
      <c r="X38" s="1">
        <v>1380500</v>
      </c>
      <c r="Y38" s="1">
        <v>6</v>
      </c>
      <c r="Z38" s="1">
        <v>8283000</v>
      </c>
      <c r="AA38" s="1"/>
      <c r="AB38" s="1"/>
      <c r="AC38" s="1" t="s">
        <v>263</v>
      </c>
      <c r="AD38" s="1" t="s">
        <v>264</v>
      </c>
      <c r="AE38" s="1">
        <v>36</v>
      </c>
      <c r="AF38" s="1" t="s">
        <v>265</v>
      </c>
      <c r="AG38" s="1">
        <v>6</v>
      </c>
      <c r="AH38" s="1">
        <v>5000</v>
      </c>
      <c r="AI38" s="1"/>
      <c r="AJ38" s="1"/>
      <c r="AK38" s="1"/>
      <c r="AL38" s="1" t="s">
        <v>267</v>
      </c>
      <c r="AM38" s="1" t="s">
        <v>268</v>
      </c>
      <c r="AN38" s="1" t="s">
        <v>269</v>
      </c>
      <c r="AO38" s="1">
        <v>39011</v>
      </c>
      <c r="AP38" s="1"/>
      <c r="AQ38" s="1"/>
      <c r="AR38" s="1"/>
      <c r="AS38" s="1" t="s">
        <v>270</v>
      </c>
      <c r="AT38" s="1" t="s">
        <v>268</v>
      </c>
      <c r="AU38" s="1">
        <v>39011</v>
      </c>
      <c r="AV38" s="1" t="s">
        <v>263</v>
      </c>
      <c r="AW38" s="1" t="s">
        <v>264</v>
      </c>
      <c r="AX38" s="1"/>
      <c r="AY38" s="1"/>
      <c r="AZ38" s="1">
        <v>15221</v>
      </c>
      <c r="BA38" s="1" t="s">
        <v>267</v>
      </c>
      <c r="BB38" s="1"/>
      <c r="BC38" s="1">
        <v>118</v>
      </c>
      <c r="BD38" s="1" t="s">
        <v>260</v>
      </c>
      <c r="BE38" s="1" t="s">
        <v>271</v>
      </c>
      <c r="BF38" s="1"/>
      <c r="BG38" s="1">
        <v>11</v>
      </c>
      <c r="BH38" s="1" t="s">
        <v>272</v>
      </c>
      <c r="BI38" s="1">
        <v>17159449</v>
      </c>
      <c r="BJ38" s="1" t="s">
        <v>273</v>
      </c>
      <c r="BK38" s="1" t="s">
        <v>295</v>
      </c>
      <c r="BL38" s="1"/>
      <c r="BM38" s="1"/>
      <c r="BN38" s="1">
        <v>351</v>
      </c>
      <c r="BO38" s="1"/>
      <c r="BP38" s="1" t="s">
        <v>602</v>
      </c>
      <c r="BQ38" s="1" t="s">
        <v>2</v>
      </c>
      <c r="BR38" s="1"/>
      <c r="BS38" s="1">
        <v>5580</v>
      </c>
      <c r="BT38" s="1"/>
      <c r="BU38" s="1"/>
      <c r="BV38" s="1"/>
      <c r="BW38" s="1"/>
      <c r="BX38" s="1"/>
      <c r="BY38" s="1"/>
    </row>
    <row r="39" spans="1:77" x14ac:dyDescent="0.2">
      <c r="A39">
        <v>37</v>
      </c>
      <c r="B39" s="1" t="s">
        <v>251</v>
      </c>
      <c r="C39" s="1" t="s">
        <v>252</v>
      </c>
      <c r="D39" s="1">
        <v>27431886850</v>
      </c>
      <c r="E39" s="1">
        <v>43188685</v>
      </c>
      <c r="F39" s="1" t="s">
        <v>603</v>
      </c>
      <c r="G39" s="1" t="s">
        <v>603</v>
      </c>
      <c r="H39" s="1" t="s">
        <v>604</v>
      </c>
      <c r="I39" s="1" t="s">
        <v>148</v>
      </c>
      <c r="J39" s="1" t="s">
        <v>605</v>
      </c>
      <c r="K39" s="1" t="s">
        <v>606</v>
      </c>
      <c r="L39" s="1" t="s">
        <v>257</v>
      </c>
      <c r="M39" s="1">
        <v>5417097</v>
      </c>
      <c r="N39" s="1" t="s">
        <v>607</v>
      </c>
      <c r="O39" s="1" t="s">
        <v>331</v>
      </c>
      <c r="P39" s="1" t="s">
        <v>608</v>
      </c>
      <c r="Q39" s="1" t="s">
        <v>609</v>
      </c>
      <c r="R39" s="1" t="s">
        <v>610</v>
      </c>
      <c r="S39" s="1">
        <v>71</v>
      </c>
      <c r="T39" s="1"/>
      <c r="U39" s="1"/>
      <c r="V39" s="1"/>
      <c r="W39" s="1"/>
      <c r="X39" s="1">
        <v>1155000</v>
      </c>
      <c r="Y39" s="1">
        <v>6</v>
      </c>
      <c r="Z39" s="1">
        <v>6930000</v>
      </c>
      <c r="AA39" s="1"/>
      <c r="AB39" s="1"/>
      <c r="AC39" s="1" t="s">
        <v>263</v>
      </c>
      <c r="AD39" s="1" t="s">
        <v>264</v>
      </c>
      <c r="AE39" s="1">
        <v>37</v>
      </c>
      <c r="AF39" s="1" t="s">
        <v>265</v>
      </c>
      <c r="AG39" s="1">
        <v>6</v>
      </c>
      <c r="AH39" s="1">
        <v>5000</v>
      </c>
      <c r="AI39" s="1"/>
      <c r="AJ39" s="1">
        <v>3706066</v>
      </c>
      <c r="AK39" s="1"/>
      <c r="AL39" s="1" t="s">
        <v>267</v>
      </c>
      <c r="AM39" s="1" t="s">
        <v>268</v>
      </c>
      <c r="AN39" s="1" t="s">
        <v>269</v>
      </c>
      <c r="AO39" s="1">
        <v>37332</v>
      </c>
      <c r="AP39" s="1"/>
      <c r="AQ39" s="1"/>
      <c r="AR39" s="1"/>
      <c r="AS39" s="1" t="s">
        <v>270</v>
      </c>
      <c r="AT39" s="1" t="s">
        <v>268</v>
      </c>
      <c r="AU39" s="1">
        <v>37332</v>
      </c>
      <c r="AV39" s="1" t="s">
        <v>263</v>
      </c>
      <c r="AW39" s="1" t="s">
        <v>264</v>
      </c>
      <c r="AX39" s="1"/>
      <c r="AY39" s="1"/>
      <c r="AZ39" s="1">
        <v>15048</v>
      </c>
      <c r="BA39" s="1" t="s">
        <v>267</v>
      </c>
      <c r="BB39" s="1"/>
      <c r="BC39" s="1">
        <v>118</v>
      </c>
      <c r="BD39" s="1" t="s">
        <v>260</v>
      </c>
      <c r="BE39" s="1" t="s">
        <v>271</v>
      </c>
      <c r="BF39" s="1"/>
      <c r="BG39" s="1">
        <v>11</v>
      </c>
      <c r="BH39" s="1" t="s">
        <v>272</v>
      </c>
      <c r="BI39" s="1">
        <v>17159449</v>
      </c>
      <c r="BJ39" s="1" t="s">
        <v>273</v>
      </c>
      <c r="BK39" s="1" t="s">
        <v>274</v>
      </c>
      <c r="BL39" s="1"/>
      <c r="BM39" s="1">
        <v>246</v>
      </c>
      <c r="BN39" s="1">
        <v>352</v>
      </c>
      <c r="BO39" s="1"/>
      <c r="BP39" s="1" t="s">
        <v>611</v>
      </c>
      <c r="BQ39" s="1" t="s">
        <v>2</v>
      </c>
      <c r="BR39" s="1"/>
      <c r="BS39" s="1">
        <v>71</v>
      </c>
      <c r="BT39" s="1"/>
      <c r="BU39" s="1"/>
      <c r="BV39" s="1"/>
      <c r="BW39" s="1"/>
      <c r="BX39" s="1"/>
      <c r="BY39" s="1"/>
    </row>
    <row r="40" spans="1:77" x14ac:dyDescent="0.2">
      <c r="A40">
        <v>38</v>
      </c>
      <c r="B40" s="1" t="s">
        <v>251</v>
      </c>
      <c r="C40" s="1" t="s">
        <v>252</v>
      </c>
      <c r="D40" s="1">
        <v>27396225153</v>
      </c>
      <c r="E40" s="1">
        <v>39622515</v>
      </c>
      <c r="F40" s="1" t="s">
        <v>612</v>
      </c>
      <c r="G40" s="1" t="s">
        <v>612</v>
      </c>
      <c r="H40" s="1" t="s">
        <v>613</v>
      </c>
      <c r="I40" s="1" t="s">
        <v>149</v>
      </c>
      <c r="J40" s="1" t="s">
        <v>614</v>
      </c>
      <c r="K40" s="1" t="s">
        <v>615</v>
      </c>
      <c r="L40" s="1">
        <v>913</v>
      </c>
      <c r="M40" s="1">
        <v>3550023</v>
      </c>
      <c r="N40" s="1" t="s">
        <v>616</v>
      </c>
      <c r="O40" s="1" t="s">
        <v>259</v>
      </c>
      <c r="P40" s="1" t="s">
        <v>260</v>
      </c>
      <c r="Q40" s="1" t="s">
        <v>617</v>
      </c>
      <c r="R40" s="1" t="s">
        <v>618</v>
      </c>
      <c r="S40" s="1">
        <v>1616</v>
      </c>
      <c r="T40" s="1"/>
      <c r="U40" s="1"/>
      <c r="V40" s="1"/>
      <c r="W40" s="1"/>
      <c r="X40" s="1">
        <v>1380500</v>
      </c>
      <c r="Y40" s="1">
        <v>6</v>
      </c>
      <c r="Z40" s="1">
        <v>8283000</v>
      </c>
      <c r="AA40" s="1"/>
      <c r="AB40" s="1"/>
      <c r="AC40" s="1" t="s">
        <v>263</v>
      </c>
      <c r="AD40" s="1" t="s">
        <v>264</v>
      </c>
      <c r="AE40" s="1">
        <v>38</v>
      </c>
      <c r="AF40" s="1" t="s">
        <v>265</v>
      </c>
      <c r="AG40" s="1">
        <v>6</v>
      </c>
      <c r="AH40" s="1">
        <v>5000</v>
      </c>
      <c r="AI40" s="1" t="s">
        <v>619</v>
      </c>
      <c r="AJ40" s="1"/>
      <c r="AK40" s="1"/>
      <c r="AL40" s="1" t="s">
        <v>267</v>
      </c>
      <c r="AM40" s="1" t="s">
        <v>268</v>
      </c>
      <c r="AN40" s="1" t="s">
        <v>269</v>
      </c>
      <c r="AO40" s="1">
        <v>39232</v>
      </c>
      <c r="AP40" s="1"/>
      <c r="AQ40" s="1"/>
      <c r="AR40" s="1"/>
      <c r="AS40" s="1" t="s">
        <v>270</v>
      </c>
      <c r="AT40" s="1" t="s">
        <v>268</v>
      </c>
      <c r="AU40" s="1">
        <v>39232</v>
      </c>
      <c r="AV40" s="1" t="s">
        <v>263</v>
      </c>
      <c r="AW40" s="1" t="s">
        <v>264</v>
      </c>
      <c r="AX40" s="1"/>
      <c r="AY40" s="1"/>
      <c r="AZ40" s="1">
        <v>27516</v>
      </c>
      <c r="BA40" s="1" t="s">
        <v>294</v>
      </c>
      <c r="BB40" s="1"/>
      <c r="BC40" s="1">
        <v>118</v>
      </c>
      <c r="BD40" s="1" t="s">
        <v>260</v>
      </c>
      <c r="BE40" s="1" t="s">
        <v>271</v>
      </c>
      <c r="BF40" s="1"/>
      <c r="BG40" s="1">
        <v>11</v>
      </c>
      <c r="BH40" s="1" t="s">
        <v>272</v>
      </c>
      <c r="BI40" s="1">
        <v>17159449</v>
      </c>
      <c r="BJ40" s="1" t="s">
        <v>273</v>
      </c>
      <c r="BK40" s="1" t="s">
        <v>274</v>
      </c>
      <c r="BL40" s="1"/>
      <c r="BM40" s="1"/>
      <c r="BN40" s="1">
        <v>351</v>
      </c>
      <c r="BO40" s="1"/>
      <c r="BP40" s="1" t="s">
        <v>620</v>
      </c>
      <c r="BQ40" s="1" t="s">
        <v>2</v>
      </c>
      <c r="BR40" s="1"/>
      <c r="BS40" s="1">
        <v>1616</v>
      </c>
      <c r="BT40" s="1"/>
      <c r="BU40" s="1"/>
      <c r="BV40" s="1"/>
      <c r="BW40" s="1"/>
      <c r="BX40" s="1"/>
      <c r="BY40" s="1"/>
    </row>
    <row r="41" spans="1:77" x14ac:dyDescent="0.2">
      <c r="A41">
        <v>39</v>
      </c>
      <c r="B41" s="1" t="s">
        <v>251</v>
      </c>
      <c r="C41" s="1" t="s">
        <v>252</v>
      </c>
      <c r="D41" s="1">
        <v>27320992902</v>
      </c>
      <c r="E41" s="1">
        <v>32099290</v>
      </c>
      <c r="F41" s="1" t="s">
        <v>621</v>
      </c>
      <c r="G41" s="1" t="s">
        <v>621</v>
      </c>
      <c r="H41" s="1" t="s">
        <v>622</v>
      </c>
      <c r="I41" s="1" t="s">
        <v>150</v>
      </c>
      <c r="J41" s="1" t="s">
        <v>623</v>
      </c>
      <c r="K41" s="1" t="s">
        <v>624</v>
      </c>
      <c r="L41" s="1" t="s">
        <v>257</v>
      </c>
      <c r="M41" s="1">
        <v>3513060977</v>
      </c>
      <c r="N41" s="1" t="s">
        <v>625</v>
      </c>
      <c r="O41" s="1" t="s">
        <v>331</v>
      </c>
      <c r="P41" s="1" t="s">
        <v>563</v>
      </c>
      <c r="Q41" s="1" t="s">
        <v>626</v>
      </c>
      <c r="R41" s="1" t="s">
        <v>627</v>
      </c>
      <c r="S41" s="1">
        <v>645</v>
      </c>
      <c r="T41" s="1" t="s">
        <v>628</v>
      </c>
      <c r="U41" s="1">
        <v>1</v>
      </c>
      <c r="V41" s="1"/>
      <c r="W41" s="1"/>
      <c r="X41" s="1">
        <v>1155000</v>
      </c>
      <c r="Y41" s="1">
        <v>6</v>
      </c>
      <c r="Z41" s="1">
        <v>6930000</v>
      </c>
      <c r="AA41" s="1"/>
      <c r="AB41" s="1"/>
      <c r="AC41" s="1" t="s">
        <v>263</v>
      </c>
      <c r="AD41" s="1" t="s">
        <v>264</v>
      </c>
      <c r="AE41" s="1">
        <v>39</v>
      </c>
      <c r="AF41" s="1" t="s">
        <v>265</v>
      </c>
      <c r="AG41" s="1">
        <v>6</v>
      </c>
      <c r="AH41" s="1">
        <v>5000</v>
      </c>
      <c r="AI41" s="1"/>
      <c r="AJ41" s="1" t="s">
        <v>629</v>
      </c>
      <c r="AK41" s="1"/>
      <c r="AL41" s="1" t="s">
        <v>267</v>
      </c>
      <c r="AM41" s="1" t="s">
        <v>268</v>
      </c>
      <c r="AN41" s="1" t="s">
        <v>269</v>
      </c>
      <c r="AO41" s="1">
        <v>37329</v>
      </c>
      <c r="AP41" s="1"/>
      <c r="AQ41" s="1"/>
      <c r="AR41" s="1"/>
      <c r="AS41" s="1" t="s">
        <v>270</v>
      </c>
      <c r="AT41" s="1" t="s">
        <v>268</v>
      </c>
      <c r="AU41" s="1">
        <v>37329</v>
      </c>
      <c r="AV41" s="1" t="s">
        <v>263</v>
      </c>
      <c r="AW41" s="1" t="s">
        <v>264</v>
      </c>
      <c r="AX41" s="1"/>
      <c r="AY41" s="1"/>
      <c r="AZ41" s="1">
        <v>15222</v>
      </c>
      <c r="BA41" s="1" t="s">
        <v>267</v>
      </c>
      <c r="BB41" s="1"/>
      <c r="BC41" s="1">
        <v>118</v>
      </c>
      <c r="BD41" s="1" t="s">
        <v>260</v>
      </c>
      <c r="BE41" s="1" t="s">
        <v>271</v>
      </c>
      <c r="BF41" s="1"/>
      <c r="BG41" s="1">
        <v>11</v>
      </c>
      <c r="BH41" s="1" t="s">
        <v>272</v>
      </c>
      <c r="BI41" s="1">
        <v>17159449</v>
      </c>
      <c r="BJ41" s="1" t="s">
        <v>273</v>
      </c>
      <c r="BK41" s="1" t="s">
        <v>274</v>
      </c>
      <c r="BL41" s="1"/>
      <c r="BM41" s="1">
        <v>247</v>
      </c>
      <c r="BN41" s="1">
        <v>351</v>
      </c>
      <c r="BO41" s="1"/>
      <c r="BP41" s="1" t="s">
        <v>630</v>
      </c>
      <c r="BQ41" s="1" t="s">
        <v>2</v>
      </c>
      <c r="BR41" s="1"/>
      <c r="BS41" s="1">
        <v>645</v>
      </c>
      <c r="BT41" s="1"/>
      <c r="BU41" s="1"/>
      <c r="BV41" s="1"/>
      <c r="BW41" s="1"/>
      <c r="BX41" s="1"/>
      <c r="BY41" s="1"/>
    </row>
    <row r="42" spans="1:77" x14ac:dyDescent="0.2">
      <c r="A42">
        <v>40</v>
      </c>
      <c r="B42" s="1" t="s">
        <v>251</v>
      </c>
      <c r="C42" s="1" t="s">
        <v>252</v>
      </c>
      <c r="D42" s="1">
        <v>27264847120</v>
      </c>
      <c r="E42" s="1">
        <v>26484712</v>
      </c>
      <c r="F42" s="1" t="s">
        <v>631</v>
      </c>
      <c r="G42" s="1" t="s">
        <v>631</v>
      </c>
      <c r="H42" s="1" t="s">
        <v>632</v>
      </c>
      <c r="I42" s="1" t="s">
        <v>151</v>
      </c>
      <c r="J42" s="1" t="s">
        <v>633</v>
      </c>
      <c r="K42" s="1" t="s">
        <v>634</v>
      </c>
      <c r="L42" s="1" t="s">
        <v>257</v>
      </c>
      <c r="M42" s="1">
        <v>5197366</v>
      </c>
      <c r="N42" s="1" t="s">
        <v>635</v>
      </c>
      <c r="O42" s="1"/>
      <c r="P42" s="1" t="s">
        <v>260</v>
      </c>
      <c r="Q42" s="1" t="s">
        <v>311</v>
      </c>
      <c r="R42" s="1" t="s">
        <v>483</v>
      </c>
      <c r="S42" s="1">
        <v>1550</v>
      </c>
      <c r="T42" s="1" t="s">
        <v>628</v>
      </c>
      <c r="U42" s="1"/>
      <c r="V42" s="1"/>
      <c r="W42" s="1"/>
      <c r="X42" s="1">
        <v>1380500</v>
      </c>
      <c r="Y42" s="1">
        <v>6</v>
      </c>
      <c r="Z42" s="1">
        <v>8283000</v>
      </c>
      <c r="AA42" s="1"/>
      <c r="AB42" s="1"/>
      <c r="AC42" s="1" t="s">
        <v>263</v>
      </c>
      <c r="AD42" s="1" t="s">
        <v>264</v>
      </c>
      <c r="AE42" s="1">
        <v>40</v>
      </c>
      <c r="AF42" s="1" t="s">
        <v>265</v>
      </c>
      <c r="AG42" s="1">
        <v>6</v>
      </c>
      <c r="AH42" s="1">
        <v>5000</v>
      </c>
      <c r="AI42" s="1"/>
      <c r="AJ42" s="1"/>
      <c r="AK42" s="1"/>
      <c r="AL42" s="1" t="s">
        <v>267</v>
      </c>
      <c r="AM42" s="1" t="s">
        <v>268</v>
      </c>
      <c r="AN42" s="1" t="s">
        <v>269</v>
      </c>
      <c r="AO42" s="1">
        <v>39234</v>
      </c>
      <c r="AP42" s="1"/>
      <c r="AQ42" s="1"/>
      <c r="AR42" s="1"/>
      <c r="AS42" s="1" t="s">
        <v>270</v>
      </c>
      <c r="AT42" s="1" t="s">
        <v>268</v>
      </c>
      <c r="AU42" s="1">
        <v>39234</v>
      </c>
      <c r="AV42" s="1" t="s">
        <v>263</v>
      </c>
      <c r="AW42" s="1" t="s">
        <v>264</v>
      </c>
      <c r="AX42" s="1"/>
      <c r="AY42" s="1"/>
      <c r="AZ42" s="1">
        <v>15327</v>
      </c>
      <c r="BA42" s="1" t="s">
        <v>267</v>
      </c>
      <c r="BB42" s="1"/>
      <c r="BC42" s="1">
        <v>118</v>
      </c>
      <c r="BD42" s="1" t="s">
        <v>260</v>
      </c>
      <c r="BE42" s="1" t="s">
        <v>271</v>
      </c>
      <c r="BF42" s="1"/>
      <c r="BG42" s="1">
        <v>11</v>
      </c>
      <c r="BH42" s="1" t="s">
        <v>272</v>
      </c>
      <c r="BI42" s="1">
        <v>17159449</v>
      </c>
      <c r="BJ42" s="1" t="s">
        <v>273</v>
      </c>
      <c r="BK42" s="1" t="s">
        <v>274</v>
      </c>
      <c r="BL42" s="1"/>
      <c r="BM42" s="1"/>
      <c r="BN42" s="1">
        <v>351</v>
      </c>
      <c r="BO42" s="1"/>
      <c r="BP42" s="1" t="s">
        <v>636</v>
      </c>
      <c r="BQ42" s="1" t="s">
        <v>2</v>
      </c>
      <c r="BR42" s="1"/>
      <c r="BS42" s="1">
        <v>1550</v>
      </c>
      <c r="BT42" s="1"/>
      <c r="BU42" s="1"/>
      <c r="BV42" s="1"/>
      <c r="BW42" s="1"/>
      <c r="BX42" s="1"/>
      <c r="BY42" s="1"/>
    </row>
    <row r="43" spans="1:77" x14ac:dyDescent="0.2">
      <c r="A43">
        <v>41</v>
      </c>
      <c r="B43" s="1" t="s">
        <v>251</v>
      </c>
      <c r="C43" s="1" t="s">
        <v>252</v>
      </c>
      <c r="D43" s="1">
        <v>27355275685</v>
      </c>
      <c r="E43" s="1">
        <v>35527568</v>
      </c>
      <c r="F43" s="1" t="s">
        <v>637</v>
      </c>
      <c r="G43" s="1" t="s">
        <v>637</v>
      </c>
      <c r="H43" s="1" t="s">
        <v>638</v>
      </c>
      <c r="I43" s="1" t="s">
        <v>152</v>
      </c>
      <c r="J43" s="1" t="s">
        <v>639</v>
      </c>
      <c r="K43" s="1" t="s">
        <v>640</v>
      </c>
      <c r="L43" s="1">
        <v>913</v>
      </c>
      <c r="M43" s="1">
        <v>7567499</v>
      </c>
      <c r="N43" s="1" t="s">
        <v>641</v>
      </c>
      <c r="O43" s="1" t="s">
        <v>259</v>
      </c>
      <c r="P43" s="1" t="s">
        <v>260</v>
      </c>
      <c r="Q43" s="1" t="s">
        <v>642</v>
      </c>
      <c r="R43" s="1" t="s">
        <v>643</v>
      </c>
      <c r="S43" s="1">
        <v>2996</v>
      </c>
      <c r="T43" s="1"/>
      <c r="U43" s="1"/>
      <c r="V43" s="1"/>
      <c r="W43" s="1"/>
      <c r="X43" s="1">
        <v>1380500</v>
      </c>
      <c r="Y43" s="1">
        <v>6</v>
      </c>
      <c r="Z43" s="1">
        <v>8283000</v>
      </c>
      <c r="AA43" s="1"/>
      <c r="AB43" s="1"/>
      <c r="AC43" s="1" t="s">
        <v>263</v>
      </c>
      <c r="AD43" s="1" t="s">
        <v>264</v>
      </c>
      <c r="AE43" s="1">
        <v>41</v>
      </c>
      <c r="AF43" s="1" t="s">
        <v>265</v>
      </c>
      <c r="AG43" s="1">
        <v>6</v>
      </c>
      <c r="AH43" s="1">
        <v>5000</v>
      </c>
      <c r="AI43" s="1" t="s">
        <v>644</v>
      </c>
      <c r="AJ43" s="1"/>
      <c r="AK43" s="1"/>
      <c r="AL43" s="1" t="s">
        <v>267</v>
      </c>
      <c r="AM43" s="1" t="s">
        <v>268</v>
      </c>
      <c r="AN43" s="1" t="s">
        <v>269</v>
      </c>
      <c r="AO43" s="1">
        <v>38998</v>
      </c>
      <c r="AP43" s="1"/>
      <c r="AQ43" s="1"/>
      <c r="AR43" s="1"/>
      <c r="AS43" s="1" t="s">
        <v>270</v>
      </c>
      <c r="AT43" s="1" t="s">
        <v>268</v>
      </c>
      <c r="AU43" s="1">
        <v>38998</v>
      </c>
      <c r="AV43" s="1" t="s">
        <v>263</v>
      </c>
      <c r="AW43" s="1" t="s">
        <v>264</v>
      </c>
      <c r="AX43" s="1"/>
      <c r="AY43" s="1"/>
      <c r="AZ43" s="1">
        <v>27391</v>
      </c>
      <c r="BA43" s="1" t="s">
        <v>294</v>
      </c>
      <c r="BB43" s="1"/>
      <c r="BC43" s="1">
        <v>118</v>
      </c>
      <c r="BD43" s="1" t="s">
        <v>260</v>
      </c>
      <c r="BE43" s="1" t="s">
        <v>271</v>
      </c>
      <c r="BF43" s="1"/>
      <c r="BG43" s="1">
        <v>11</v>
      </c>
      <c r="BH43" s="1" t="s">
        <v>272</v>
      </c>
      <c r="BI43" s="1">
        <v>17159449</v>
      </c>
      <c r="BJ43" s="1" t="s">
        <v>273</v>
      </c>
      <c r="BK43" s="1" t="s">
        <v>274</v>
      </c>
      <c r="BL43" s="1"/>
      <c r="BM43" s="1"/>
      <c r="BN43" s="1">
        <v>351</v>
      </c>
      <c r="BO43" s="1"/>
      <c r="BP43" s="1" t="s">
        <v>645</v>
      </c>
      <c r="BQ43" s="1" t="s">
        <v>2</v>
      </c>
      <c r="BR43" s="1"/>
      <c r="BS43" s="1">
        <v>2996</v>
      </c>
      <c r="BT43" s="1"/>
      <c r="BU43" s="1"/>
      <c r="BV43" s="1"/>
      <c r="BW43" s="1"/>
      <c r="BX43" s="1"/>
      <c r="BY43" s="1"/>
    </row>
    <row r="44" spans="1:77" x14ac:dyDescent="0.2">
      <c r="A44">
        <v>42</v>
      </c>
      <c r="B44" s="1" t="s">
        <v>251</v>
      </c>
      <c r="C44" s="1" t="s">
        <v>252</v>
      </c>
      <c r="D44" s="1">
        <v>27404040680</v>
      </c>
      <c r="E44" s="1">
        <v>40404068</v>
      </c>
      <c r="F44" s="1" t="s">
        <v>646</v>
      </c>
      <c r="G44" s="1" t="s">
        <v>646</v>
      </c>
      <c r="H44" s="1" t="s">
        <v>647</v>
      </c>
      <c r="I44" s="1" t="s">
        <v>153</v>
      </c>
      <c r="J44" s="1" t="s">
        <v>648</v>
      </c>
      <c r="K44" s="1" t="s">
        <v>649</v>
      </c>
      <c r="L44" s="1" t="s">
        <v>257</v>
      </c>
      <c r="M44" s="1">
        <v>3516578259</v>
      </c>
      <c r="N44" s="1" t="s">
        <v>650</v>
      </c>
      <c r="O44" s="1" t="s">
        <v>259</v>
      </c>
      <c r="P44" s="1" t="s">
        <v>260</v>
      </c>
      <c r="Q44" s="1" t="s">
        <v>651</v>
      </c>
      <c r="R44" s="1" t="s">
        <v>652</v>
      </c>
      <c r="S44" s="1">
        <v>472</v>
      </c>
      <c r="T44" s="1"/>
      <c r="U44" s="1"/>
      <c r="V44" s="1"/>
      <c r="W44" s="1"/>
      <c r="X44" s="1">
        <v>1039500</v>
      </c>
      <c r="Y44" s="1">
        <v>6</v>
      </c>
      <c r="Z44" s="1">
        <v>6237000</v>
      </c>
      <c r="AA44" s="1"/>
      <c r="AB44" s="1"/>
      <c r="AC44" s="1" t="s">
        <v>263</v>
      </c>
      <c r="AD44" s="1" t="s">
        <v>264</v>
      </c>
      <c r="AE44" s="1">
        <v>42</v>
      </c>
      <c r="AF44" s="1" t="s">
        <v>265</v>
      </c>
      <c r="AG44" s="1">
        <v>6</v>
      </c>
      <c r="AH44" s="1">
        <v>5000</v>
      </c>
      <c r="AI44" s="1" t="s">
        <v>653</v>
      </c>
      <c r="AJ44" s="1"/>
      <c r="AK44" s="1"/>
      <c r="AL44" s="1" t="s">
        <v>267</v>
      </c>
      <c r="AM44" s="1" t="s">
        <v>268</v>
      </c>
      <c r="AN44" s="1" t="s">
        <v>269</v>
      </c>
      <c r="AO44" s="1">
        <v>39230</v>
      </c>
      <c r="AP44" s="1"/>
      <c r="AQ44" s="1"/>
      <c r="AR44" s="1"/>
      <c r="AS44" s="1" t="s">
        <v>270</v>
      </c>
      <c r="AT44" s="1" t="s">
        <v>268</v>
      </c>
      <c r="AU44" s="1">
        <v>39230</v>
      </c>
      <c r="AV44" s="1" t="s">
        <v>263</v>
      </c>
      <c r="AW44" s="1" t="s">
        <v>264</v>
      </c>
      <c r="AX44" s="1"/>
      <c r="AY44" s="1"/>
      <c r="AZ44" s="1">
        <v>24924</v>
      </c>
      <c r="BA44" s="1" t="s">
        <v>294</v>
      </c>
      <c r="BB44" s="1"/>
      <c r="BC44" s="1">
        <v>118</v>
      </c>
      <c r="BD44" s="1" t="s">
        <v>260</v>
      </c>
      <c r="BE44" s="1" t="s">
        <v>271</v>
      </c>
      <c r="BF44" s="1"/>
      <c r="BG44" s="1">
        <v>11</v>
      </c>
      <c r="BH44" s="1" t="s">
        <v>272</v>
      </c>
      <c r="BI44" s="1">
        <v>17159449</v>
      </c>
      <c r="BJ44" s="1" t="s">
        <v>273</v>
      </c>
      <c r="BK44" s="1" t="s">
        <v>274</v>
      </c>
      <c r="BL44" s="1"/>
      <c r="BM44" s="1"/>
      <c r="BN44" s="1">
        <v>351</v>
      </c>
      <c r="BO44" s="1"/>
      <c r="BP44" s="1" t="s">
        <v>654</v>
      </c>
      <c r="BQ44" s="1" t="s">
        <v>2</v>
      </c>
      <c r="BR44" s="1"/>
      <c r="BS44" s="1">
        <v>472</v>
      </c>
      <c r="BT44" s="1"/>
      <c r="BU44" s="1"/>
      <c r="BV44" s="1"/>
      <c r="BW44" s="1"/>
      <c r="BX44" s="1"/>
      <c r="BY44" s="1"/>
    </row>
    <row r="45" spans="1:77" x14ac:dyDescent="0.2">
      <c r="A45">
        <v>43</v>
      </c>
      <c r="B45" s="1" t="s">
        <v>251</v>
      </c>
      <c r="C45" s="1" t="s">
        <v>252</v>
      </c>
      <c r="D45" s="1">
        <v>20222310394</v>
      </c>
      <c r="E45" s="1">
        <v>22231039</v>
      </c>
      <c r="F45" s="1" t="s">
        <v>655</v>
      </c>
      <c r="G45" s="1" t="s">
        <v>655</v>
      </c>
      <c r="H45" s="1" t="s">
        <v>656</v>
      </c>
      <c r="I45" s="1" t="s">
        <v>154</v>
      </c>
      <c r="J45" s="1" t="s">
        <v>657</v>
      </c>
      <c r="K45" s="1" t="s">
        <v>658</v>
      </c>
      <c r="L45" s="1" t="s">
        <v>257</v>
      </c>
      <c r="M45" s="1">
        <v>588643</v>
      </c>
      <c r="N45" s="1" t="s">
        <v>659</v>
      </c>
      <c r="O45" s="1" t="s">
        <v>259</v>
      </c>
      <c r="P45" s="1" t="s">
        <v>260</v>
      </c>
      <c r="Q45" s="1" t="s">
        <v>660</v>
      </c>
      <c r="R45" s="1" t="s">
        <v>661</v>
      </c>
      <c r="S45" s="1">
        <v>2979</v>
      </c>
      <c r="T45" s="1"/>
      <c r="U45" s="1"/>
      <c r="V45" s="1"/>
      <c r="W45" s="1"/>
      <c r="X45" s="1">
        <v>924000</v>
      </c>
      <c r="Y45" s="1">
        <v>6</v>
      </c>
      <c r="Z45" s="1">
        <v>5544000</v>
      </c>
      <c r="AA45" s="1"/>
      <c r="AB45" s="1"/>
      <c r="AC45" s="1" t="s">
        <v>263</v>
      </c>
      <c r="AD45" s="1" t="s">
        <v>264</v>
      </c>
      <c r="AE45" s="1">
        <v>43</v>
      </c>
      <c r="AF45" s="1" t="s">
        <v>265</v>
      </c>
      <c r="AG45" s="1">
        <v>6</v>
      </c>
      <c r="AH45" s="1">
        <v>5000</v>
      </c>
      <c r="AI45" s="1"/>
      <c r="AJ45" s="1"/>
      <c r="AK45" s="1"/>
      <c r="AL45" s="1" t="s">
        <v>267</v>
      </c>
      <c r="AM45" s="1" t="s">
        <v>268</v>
      </c>
      <c r="AN45" s="1" t="s">
        <v>269</v>
      </c>
      <c r="AO45" s="1">
        <v>172</v>
      </c>
      <c r="AP45" s="1"/>
      <c r="AQ45" s="1"/>
      <c r="AR45" s="1"/>
      <c r="AS45" s="1" t="s">
        <v>270</v>
      </c>
      <c r="AT45" s="1" t="s">
        <v>268</v>
      </c>
      <c r="AU45" s="1">
        <v>172</v>
      </c>
      <c r="AV45" s="1" t="s">
        <v>263</v>
      </c>
      <c r="AW45" s="1" t="s">
        <v>264</v>
      </c>
      <c r="AX45" s="1"/>
      <c r="AY45" s="1"/>
      <c r="AZ45" s="1">
        <v>15344</v>
      </c>
      <c r="BA45" s="1" t="s">
        <v>267</v>
      </c>
      <c r="BB45" s="1"/>
      <c r="BC45" s="1">
        <v>118</v>
      </c>
      <c r="BD45" s="1" t="s">
        <v>260</v>
      </c>
      <c r="BE45" s="1"/>
      <c r="BF45" s="1"/>
      <c r="BG45" s="1">
        <v>11</v>
      </c>
      <c r="BH45" s="1" t="s">
        <v>272</v>
      </c>
      <c r="BI45" s="1">
        <v>17159449</v>
      </c>
      <c r="BJ45" s="1" t="s">
        <v>273</v>
      </c>
      <c r="BK45" s="1" t="s">
        <v>295</v>
      </c>
      <c r="BL45" s="1"/>
      <c r="BM45" s="1"/>
      <c r="BN45" s="1">
        <v>3541</v>
      </c>
      <c r="BO45" s="1"/>
      <c r="BP45" s="1" t="s">
        <v>662</v>
      </c>
      <c r="BQ45" s="1" t="s">
        <v>2</v>
      </c>
      <c r="BR45" s="1"/>
      <c r="BS45" s="1">
        <v>2979</v>
      </c>
      <c r="BT45" s="1"/>
      <c r="BU45" s="1"/>
      <c r="BV45" s="1"/>
      <c r="BW45" s="1"/>
      <c r="BX45" s="1"/>
      <c r="BY45" s="1"/>
    </row>
    <row r="46" spans="1:77" x14ac:dyDescent="0.2">
      <c r="A46">
        <v>44</v>
      </c>
      <c r="B46" s="1" t="s">
        <v>251</v>
      </c>
      <c r="C46" s="1" t="s">
        <v>252</v>
      </c>
      <c r="D46" s="1">
        <v>23361259599</v>
      </c>
      <c r="E46" s="1">
        <v>36125959</v>
      </c>
      <c r="F46" s="1" t="s">
        <v>663</v>
      </c>
      <c r="G46" s="1" t="s">
        <v>663</v>
      </c>
      <c r="H46" s="1" t="s">
        <v>664</v>
      </c>
      <c r="I46" s="1" t="s">
        <v>155</v>
      </c>
      <c r="J46" s="1" t="s">
        <v>665</v>
      </c>
      <c r="K46" s="1" t="s">
        <v>666</v>
      </c>
      <c r="L46" s="1">
        <v>913</v>
      </c>
      <c r="M46" s="1">
        <v>2316727</v>
      </c>
      <c r="N46" s="1" t="s">
        <v>667</v>
      </c>
      <c r="O46" s="1" t="s">
        <v>259</v>
      </c>
      <c r="P46" s="1" t="s">
        <v>260</v>
      </c>
      <c r="Q46" s="1" t="s">
        <v>668</v>
      </c>
      <c r="R46" s="1" t="s">
        <v>669</v>
      </c>
      <c r="S46" s="1">
        <v>4811</v>
      </c>
      <c r="T46" s="1"/>
      <c r="U46" s="1"/>
      <c r="V46" s="1"/>
      <c r="W46" s="1"/>
      <c r="X46" s="1">
        <v>1380500</v>
      </c>
      <c r="Y46" s="1">
        <v>6</v>
      </c>
      <c r="Z46" s="1">
        <v>8283000</v>
      </c>
      <c r="AA46" s="1"/>
      <c r="AB46" s="1"/>
      <c r="AC46" s="1" t="s">
        <v>263</v>
      </c>
      <c r="AD46" s="1" t="s">
        <v>264</v>
      </c>
      <c r="AE46" s="1">
        <v>44</v>
      </c>
      <c r="AF46" s="1" t="s">
        <v>265</v>
      </c>
      <c r="AG46" s="1">
        <v>6</v>
      </c>
      <c r="AH46" s="1">
        <v>5000</v>
      </c>
      <c r="AI46" s="1" t="s">
        <v>670</v>
      </c>
      <c r="AJ46" s="1"/>
      <c r="AK46" s="1"/>
      <c r="AL46" s="1" t="s">
        <v>267</v>
      </c>
      <c r="AM46" s="1" t="s">
        <v>268</v>
      </c>
      <c r="AN46" s="1" t="s">
        <v>269</v>
      </c>
      <c r="AO46" s="1">
        <v>39218</v>
      </c>
      <c r="AP46" s="1"/>
      <c r="AQ46" s="1"/>
      <c r="AR46" s="1"/>
      <c r="AS46" s="1" t="s">
        <v>270</v>
      </c>
      <c r="AT46" s="1" t="s">
        <v>268</v>
      </c>
      <c r="AU46" s="1">
        <v>39218</v>
      </c>
      <c r="AV46" s="1" t="s">
        <v>263</v>
      </c>
      <c r="AW46" s="1" t="s">
        <v>264</v>
      </c>
      <c r="AX46" s="1"/>
      <c r="AY46" s="1"/>
      <c r="AZ46" s="1">
        <v>27511</v>
      </c>
      <c r="BA46" s="1" t="s">
        <v>294</v>
      </c>
      <c r="BB46" s="1"/>
      <c r="BC46" s="1">
        <v>118</v>
      </c>
      <c r="BD46" s="1" t="s">
        <v>260</v>
      </c>
      <c r="BE46" s="1" t="s">
        <v>271</v>
      </c>
      <c r="BF46" s="1"/>
      <c r="BG46" s="1">
        <v>11</v>
      </c>
      <c r="BH46" s="1" t="s">
        <v>272</v>
      </c>
      <c r="BI46" s="1">
        <v>17159449</v>
      </c>
      <c r="BJ46" s="1" t="s">
        <v>273</v>
      </c>
      <c r="BK46" s="1" t="s">
        <v>295</v>
      </c>
      <c r="BL46" s="1"/>
      <c r="BM46" s="1"/>
      <c r="BN46" s="1">
        <v>351</v>
      </c>
      <c r="BO46" s="1"/>
      <c r="BP46" s="1" t="s">
        <v>671</v>
      </c>
      <c r="BQ46" s="1" t="s">
        <v>2</v>
      </c>
      <c r="BR46" s="1"/>
      <c r="BS46" s="1">
        <v>4811</v>
      </c>
      <c r="BT46" s="1"/>
      <c r="BU46" s="1"/>
      <c r="BV46" s="1"/>
      <c r="BW46" s="1"/>
      <c r="BX46" s="1"/>
      <c r="BY46" s="1"/>
    </row>
    <row r="47" spans="1:77" x14ac:dyDescent="0.2">
      <c r="A47">
        <v>45</v>
      </c>
      <c r="B47" s="1" t="s">
        <v>251</v>
      </c>
      <c r="C47" s="1" t="s">
        <v>252</v>
      </c>
      <c r="D47" s="1">
        <v>27355296844</v>
      </c>
      <c r="E47" s="1">
        <v>35529684</v>
      </c>
      <c r="F47" s="1" t="s">
        <v>672</v>
      </c>
      <c r="G47" s="1" t="s">
        <v>672</v>
      </c>
      <c r="H47" s="1" t="s">
        <v>673</v>
      </c>
      <c r="I47" s="1" t="s">
        <v>156</v>
      </c>
      <c r="J47" s="1" t="s">
        <v>674</v>
      </c>
      <c r="K47" s="1" t="s">
        <v>675</v>
      </c>
      <c r="L47" s="1">
        <v>913</v>
      </c>
      <c r="M47" s="1">
        <v>5195778</v>
      </c>
      <c r="N47" s="1" t="s">
        <v>676</v>
      </c>
      <c r="O47" s="1" t="s">
        <v>259</v>
      </c>
      <c r="P47" s="1" t="s">
        <v>260</v>
      </c>
      <c r="Q47" s="1" t="s">
        <v>677</v>
      </c>
      <c r="R47" s="1" t="s">
        <v>678</v>
      </c>
      <c r="S47" s="1">
        <v>1552</v>
      </c>
      <c r="T47" s="1"/>
      <c r="U47" s="1"/>
      <c r="V47" s="1"/>
      <c r="W47" s="1"/>
      <c r="X47" s="1">
        <v>1155000</v>
      </c>
      <c r="Y47" s="1">
        <v>6</v>
      </c>
      <c r="Z47" s="1">
        <v>6930000</v>
      </c>
      <c r="AA47" s="1"/>
      <c r="AB47" s="1"/>
      <c r="AC47" s="1" t="s">
        <v>263</v>
      </c>
      <c r="AD47" s="1" t="s">
        <v>264</v>
      </c>
      <c r="AE47" s="1">
        <v>45</v>
      </c>
      <c r="AF47" s="1" t="s">
        <v>265</v>
      </c>
      <c r="AG47" s="1">
        <v>6</v>
      </c>
      <c r="AH47" s="1">
        <v>5000</v>
      </c>
      <c r="AI47" s="1" t="s">
        <v>679</v>
      </c>
      <c r="AJ47" s="1"/>
      <c r="AK47" s="1"/>
      <c r="AL47" s="1" t="s">
        <v>267</v>
      </c>
      <c r="AM47" s="1" t="s">
        <v>268</v>
      </c>
      <c r="AN47" s="1" t="s">
        <v>269</v>
      </c>
      <c r="AO47" s="1">
        <v>34873</v>
      </c>
      <c r="AP47" s="1"/>
      <c r="AQ47" s="1"/>
      <c r="AR47" s="1"/>
      <c r="AS47" s="1" t="s">
        <v>270</v>
      </c>
      <c r="AT47" s="1" t="s">
        <v>268</v>
      </c>
      <c r="AU47" s="1">
        <v>34873</v>
      </c>
      <c r="AV47" s="1" t="s">
        <v>263</v>
      </c>
      <c r="AW47" s="1" t="s">
        <v>264</v>
      </c>
      <c r="AX47" s="1"/>
      <c r="AY47" s="1"/>
      <c r="AZ47" s="1">
        <v>26231</v>
      </c>
      <c r="BA47" s="1" t="s">
        <v>294</v>
      </c>
      <c r="BB47" s="1"/>
      <c r="BC47" s="1">
        <v>118</v>
      </c>
      <c r="BD47" s="1" t="s">
        <v>260</v>
      </c>
      <c r="BE47" s="1" t="s">
        <v>271</v>
      </c>
      <c r="BF47" s="1"/>
      <c r="BG47" s="1">
        <v>11</v>
      </c>
      <c r="BH47" s="1" t="s">
        <v>272</v>
      </c>
      <c r="BI47" s="1">
        <v>17159449</v>
      </c>
      <c r="BJ47" s="1" t="s">
        <v>273</v>
      </c>
      <c r="BK47" s="1" t="s">
        <v>274</v>
      </c>
      <c r="BL47" s="1"/>
      <c r="BM47" s="1"/>
      <c r="BN47" s="1">
        <v>351</v>
      </c>
      <c r="BO47" s="1"/>
      <c r="BP47" s="1" t="s">
        <v>680</v>
      </c>
      <c r="BQ47" s="1" t="s">
        <v>2</v>
      </c>
      <c r="BR47" s="1"/>
      <c r="BS47" s="1">
        <v>1552</v>
      </c>
      <c r="BT47" s="1"/>
      <c r="BU47" s="1"/>
      <c r="BV47" s="1"/>
      <c r="BW47" s="1"/>
      <c r="BX47" s="1"/>
      <c r="BY47" s="1"/>
    </row>
    <row r="48" spans="1:77" x14ac:dyDescent="0.2">
      <c r="A48">
        <v>46</v>
      </c>
      <c r="B48" s="1" t="s">
        <v>251</v>
      </c>
      <c r="C48" s="1" t="s">
        <v>252</v>
      </c>
      <c r="D48" s="1">
        <v>20139959915</v>
      </c>
      <c r="E48" s="1">
        <v>13995991</v>
      </c>
      <c r="F48" s="1" t="s">
        <v>681</v>
      </c>
      <c r="G48" s="1" t="s">
        <v>681</v>
      </c>
      <c r="H48" s="1" t="s">
        <v>682</v>
      </c>
      <c r="I48" s="1" t="s">
        <v>157</v>
      </c>
      <c r="J48" s="1" t="s">
        <v>683</v>
      </c>
      <c r="K48" s="1" t="s">
        <v>684</v>
      </c>
      <c r="L48" s="1" t="s">
        <v>257</v>
      </c>
      <c r="M48" s="1">
        <v>5169744</v>
      </c>
      <c r="N48" s="1" t="s">
        <v>685</v>
      </c>
      <c r="O48" s="1" t="s">
        <v>259</v>
      </c>
      <c r="P48" s="1" t="s">
        <v>260</v>
      </c>
      <c r="Q48" s="1" t="s">
        <v>554</v>
      </c>
      <c r="R48" s="1" t="s">
        <v>642</v>
      </c>
      <c r="S48" s="1">
        <v>163</v>
      </c>
      <c r="T48" s="1">
        <v>1</v>
      </c>
      <c r="U48" s="1" t="s">
        <v>373</v>
      </c>
      <c r="V48" s="1"/>
      <c r="W48" s="1"/>
      <c r="X48" s="1">
        <v>924000</v>
      </c>
      <c r="Y48" s="1">
        <v>6</v>
      </c>
      <c r="Z48" s="1">
        <v>5544000</v>
      </c>
      <c r="AA48" s="1"/>
      <c r="AB48" s="1"/>
      <c r="AC48" s="1" t="s">
        <v>263</v>
      </c>
      <c r="AD48" s="1" t="s">
        <v>264</v>
      </c>
      <c r="AE48" s="1">
        <v>46</v>
      </c>
      <c r="AF48" s="1" t="s">
        <v>265</v>
      </c>
      <c r="AG48" s="1">
        <v>6</v>
      </c>
      <c r="AH48" s="1">
        <v>5000</v>
      </c>
      <c r="AI48" s="1"/>
      <c r="AJ48" s="1" t="s">
        <v>686</v>
      </c>
      <c r="AK48" s="1"/>
      <c r="AL48" s="1" t="s">
        <v>267</v>
      </c>
      <c r="AM48" s="1" t="s">
        <v>268</v>
      </c>
      <c r="AN48" s="1" t="s">
        <v>269</v>
      </c>
      <c r="AO48" s="1">
        <v>37305</v>
      </c>
      <c r="AP48" s="1"/>
      <c r="AQ48" s="1"/>
      <c r="AR48" s="1"/>
      <c r="AS48" s="1" t="s">
        <v>270</v>
      </c>
      <c r="AT48" s="1" t="s">
        <v>268</v>
      </c>
      <c r="AU48" s="1">
        <v>37305</v>
      </c>
      <c r="AV48" s="1" t="s">
        <v>263</v>
      </c>
      <c r="AW48" s="1" t="s">
        <v>264</v>
      </c>
      <c r="AX48" s="1"/>
      <c r="AY48" s="1"/>
      <c r="AZ48" s="1">
        <v>15230</v>
      </c>
      <c r="BA48" s="1" t="s">
        <v>267</v>
      </c>
      <c r="BB48" s="1"/>
      <c r="BC48" s="1">
        <v>118</v>
      </c>
      <c r="BD48" s="1" t="s">
        <v>260</v>
      </c>
      <c r="BE48" s="1" t="s">
        <v>271</v>
      </c>
      <c r="BF48" s="1"/>
      <c r="BG48" s="1">
        <v>11</v>
      </c>
      <c r="BH48" s="1" t="s">
        <v>272</v>
      </c>
      <c r="BI48" s="1">
        <v>17159449</v>
      </c>
      <c r="BJ48" s="1" t="s">
        <v>273</v>
      </c>
      <c r="BK48" s="1" t="s">
        <v>295</v>
      </c>
      <c r="BL48" s="1"/>
      <c r="BM48" s="1">
        <v>247</v>
      </c>
      <c r="BN48" s="1">
        <v>351</v>
      </c>
      <c r="BO48" s="1"/>
      <c r="BP48" s="1" t="s">
        <v>687</v>
      </c>
      <c r="BQ48" s="1" t="s">
        <v>2</v>
      </c>
      <c r="BR48" s="1"/>
      <c r="BS48" s="1">
        <v>163</v>
      </c>
      <c r="BT48" s="1"/>
      <c r="BU48" s="1"/>
      <c r="BV48" s="1"/>
      <c r="BW48" s="1"/>
      <c r="BX48" s="1"/>
      <c r="BY48" s="1"/>
    </row>
    <row r="49" spans="1:77" x14ac:dyDescent="0.2">
      <c r="A49">
        <v>47</v>
      </c>
      <c r="B49" s="1" t="s">
        <v>251</v>
      </c>
      <c r="C49" s="1" t="s">
        <v>252</v>
      </c>
      <c r="D49" s="1">
        <v>27279555576</v>
      </c>
      <c r="E49" s="1">
        <v>27955557</v>
      </c>
      <c r="F49" s="1" t="s">
        <v>688</v>
      </c>
      <c r="G49" s="1" t="s">
        <v>688</v>
      </c>
      <c r="H49" s="1" t="s">
        <v>689</v>
      </c>
      <c r="I49" s="1" t="s">
        <v>158</v>
      </c>
      <c r="J49" s="1" t="s">
        <v>690</v>
      </c>
      <c r="K49" s="1" t="s">
        <v>691</v>
      </c>
      <c r="L49" s="1" t="s">
        <v>257</v>
      </c>
      <c r="M49" s="1">
        <v>7031370</v>
      </c>
      <c r="N49" s="1" t="s">
        <v>692</v>
      </c>
      <c r="O49" s="1" t="s">
        <v>259</v>
      </c>
      <c r="P49" s="1" t="s">
        <v>260</v>
      </c>
      <c r="Q49" s="1" t="s">
        <v>693</v>
      </c>
      <c r="R49" s="1" t="s">
        <v>694</v>
      </c>
      <c r="S49" s="1">
        <v>2775</v>
      </c>
      <c r="T49" s="1">
        <v>1</v>
      </c>
      <c r="U49" s="1" t="s">
        <v>373</v>
      </c>
      <c r="V49" s="1"/>
      <c r="W49" s="1"/>
      <c r="X49" s="1">
        <v>924000</v>
      </c>
      <c r="Y49" s="1">
        <v>6</v>
      </c>
      <c r="Z49" s="1">
        <v>5544000</v>
      </c>
      <c r="AA49" s="1"/>
      <c r="AB49" s="1"/>
      <c r="AC49" s="1" t="s">
        <v>263</v>
      </c>
      <c r="AD49" s="1" t="s">
        <v>264</v>
      </c>
      <c r="AE49" s="1">
        <v>47</v>
      </c>
      <c r="AF49" s="1" t="s">
        <v>265</v>
      </c>
      <c r="AG49" s="1">
        <v>6</v>
      </c>
      <c r="AH49" s="1">
        <v>5000</v>
      </c>
      <c r="AI49" s="1"/>
      <c r="AJ49" s="1" t="s">
        <v>695</v>
      </c>
      <c r="AK49" s="1"/>
      <c r="AL49" s="1" t="s">
        <v>267</v>
      </c>
      <c r="AM49" s="1" t="s">
        <v>268</v>
      </c>
      <c r="AN49" s="1" t="s">
        <v>269</v>
      </c>
      <c r="AO49" s="1">
        <v>169</v>
      </c>
      <c r="AP49" s="1"/>
      <c r="AQ49" s="1"/>
      <c r="AR49" s="1"/>
      <c r="AS49" s="1" t="s">
        <v>270</v>
      </c>
      <c r="AT49" s="1" t="s">
        <v>268</v>
      </c>
      <c r="AU49" s="1">
        <v>169</v>
      </c>
      <c r="AV49" s="1" t="s">
        <v>263</v>
      </c>
      <c r="AW49" s="1" t="s">
        <v>264</v>
      </c>
      <c r="AX49" s="1"/>
      <c r="AY49" s="1"/>
      <c r="AZ49" s="1">
        <v>15233</v>
      </c>
      <c r="BA49" s="1" t="s">
        <v>267</v>
      </c>
      <c r="BB49" s="1"/>
      <c r="BC49" s="1">
        <v>118</v>
      </c>
      <c r="BD49" s="1" t="s">
        <v>260</v>
      </c>
      <c r="BE49" s="1"/>
      <c r="BF49" s="1"/>
      <c r="BG49" s="1">
        <v>11</v>
      </c>
      <c r="BH49" s="1" t="s">
        <v>272</v>
      </c>
      <c r="BI49" s="1">
        <v>17159449</v>
      </c>
      <c r="BJ49" s="1" t="s">
        <v>273</v>
      </c>
      <c r="BK49" s="1" t="s">
        <v>274</v>
      </c>
      <c r="BL49" s="1"/>
      <c r="BM49" s="1">
        <v>247</v>
      </c>
      <c r="BN49" s="1">
        <v>351</v>
      </c>
      <c r="BO49" s="1"/>
      <c r="BP49" s="1" t="s">
        <v>696</v>
      </c>
      <c r="BQ49" s="1" t="s">
        <v>2</v>
      </c>
      <c r="BR49" s="1"/>
      <c r="BS49" s="1">
        <v>2775</v>
      </c>
      <c r="BT49" s="1"/>
      <c r="BU49" s="1"/>
      <c r="BV49" s="1"/>
      <c r="BW49" s="1"/>
      <c r="BX49" s="1"/>
      <c r="BY49" s="1"/>
    </row>
    <row r="50" spans="1:77" x14ac:dyDescent="0.2">
      <c r="A50">
        <v>48</v>
      </c>
      <c r="B50" s="1" t="s">
        <v>251</v>
      </c>
      <c r="C50" s="1" t="s">
        <v>252</v>
      </c>
      <c r="D50" s="1">
        <v>27322387836</v>
      </c>
      <c r="E50" s="1">
        <v>32238783</v>
      </c>
      <c r="F50" s="1" t="s">
        <v>697</v>
      </c>
      <c r="G50" s="1" t="s">
        <v>697</v>
      </c>
      <c r="H50" s="1" t="s">
        <v>698</v>
      </c>
      <c r="I50" s="1" t="s">
        <v>159</v>
      </c>
      <c r="J50" s="1" t="s">
        <v>699</v>
      </c>
      <c r="K50" s="1" t="s">
        <v>700</v>
      </c>
      <c r="L50" s="1">
        <v>913</v>
      </c>
      <c r="M50" s="1">
        <v>5149372</v>
      </c>
      <c r="N50" s="1" t="s">
        <v>701</v>
      </c>
      <c r="O50" s="1" t="s">
        <v>259</v>
      </c>
      <c r="P50" s="1" t="s">
        <v>260</v>
      </c>
      <c r="Q50" s="1" t="s">
        <v>677</v>
      </c>
      <c r="R50" s="1" t="s">
        <v>702</v>
      </c>
      <c r="S50" s="1">
        <v>793</v>
      </c>
      <c r="T50" s="1"/>
      <c r="U50" s="1"/>
      <c r="V50" s="1"/>
      <c r="W50" s="1"/>
      <c r="X50" s="1">
        <v>1380500</v>
      </c>
      <c r="Y50" s="1">
        <v>6</v>
      </c>
      <c r="Z50" s="1">
        <v>8283000</v>
      </c>
      <c r="AA50" s="1"/>
      <c r="AB50" s="1"/>
      <c r="AC50" s="1" t="s">
        <v>263</v>
      </c>
      <c r="AD50" s="1" t="s">
        <v>264</v>
      </c>
      <c r="AE50" s="1">
        <v>48</v>
      </c>
      <c r="AF50" s="1" t="s">
        <v>265</v>
      </c>
      <c r="AG50" s="1">
        <v>6</v>
      </c>
      <c r="AH50" s="1">
        <v>5000</v>
      </c>
      <c r="AI50" s="1" t="s">
        <v>703</v>
      </c>
      <c r="AJ50" s="1"/>
      <c r="AK50" s="1"/>
      <c r="AL50" s="1" t="s">
        <v>267</v>
      </c>
      <c r="AM50" s="1" t="s">
        <v>268</v>
      </c>
      <c r="AN50" s="1" t="s">
        <v>269</v>
      </c>
      <c r="AO50" s="1">
        <v>38428</v>
      </c>
      <c r="AP50" s="1"/>
      <c r="AQ50" s="1"/>
      <c r="AR50" s="1"/>
      <c r="AS50" s="1" t="s">
        <v>270</v>
      </c>
      <c r="AT50" s="1" t="s">
        <v>268</v>
      </c>
      <c r="AU50" s="1">
        <v>38428</v>
      </c>
      <c r="AV50" s="1" t="s">
        <v>263</v>
      </c>
      <c r="AW50" s="1" t="s">
        <v>264</v>
      </c>
      <c r="AX50" s="1"/>
      <c r="AY50" s="1"/>
      <c r="AZ50" s="1">
        <v>26282</v>
      </c>
      <c r="BA50" s="1" t="s">
        <v>294</v>
      </c>
      <c r="BB50" s="1"/>
      <c r="BC50" s="1">
        <v>118</v>
      </c>
      <c r="BD50" s="1" t="s">
        <v>260</v>
      </c>
      <c r="BE50" s="1" t="s">
        <v>271</v>
      </c>
      <c r="BF50" s="1"/>
      <c r="BG50" s="1">
        <v>11</v>
      </c>
      <c r="BH50" s="1" t="s">
        <v>272</v>
      </c>
      <c r="BI50" s="1">
        <v>17159449</v>
      </c>
      <c r="BJ50" s="1" t="s">
        <v>273</v>
      </c>
      <c r="BK50" s="1" t="s">
        <v>274</v>
      </c>
      <c r="BL50" s="1"/>
      <c r="BM50" s="1"/>
      <c r="BN50" s="1">
        <v>351</v>
      </c>
      <c r="BO50" s="1"/>
      <c r="BP50" s="1" t="s">
        <v>704</v>
      </c>
      <c r="BQ50" s="1" t="s">
        <v>2</v>
      </c>
      <c r="BR50" s="1"/>
      <c r="BS50" s="1">
        <v>793</v>
      </c>
      <c r="BT50" s="1"/>
      <c r="BU50" s="1"/>
      <c r="BV50" s="1"/>
      <c r="BW50" s="1"/>
      <c r="BX50" s="1"/>
      <c r="BY50" s="1"/>
    </row>
    <row r="51" spans="1:77" x14ac:dyDescent="0.2">
      <c r="A51">
        <v>49</v>
      </c>
      <c r="B51" s="1" t="s">
        <v>251</v>
      </c>
      <c r="C51" s="1" t="s">
        <v>252</v>
      </c>
      <c r="D51" s="1">
        <v>27339755529</v>
      </c>
      <c r="E51" s="1">
        <v>33975552</v>
      </c>
      <c r="F51" s="1" t="s">
        <v>705</v>
      </c>
      <c r="G51" s="1" t="s">
        <v>705</v>
      </c>
      <c r="H51" s="1" t="s">
        <v>706</v>
      </c>
      <c r="I51" s="1" t="s">
        <v>160</v>
      </c>
      <c r="J51" s="1" t="s">
        <v>707</v>
      </c>
      <c r="K51" s="1" t="s">
        <v>708</v>
      </c>
      <c r="L51" s="1" t="s">
        <v>257</v>
      </c>
      <c r="M51" s="1">
        <v>5953280</v>
      </c>
      <c r="N51" s="1" t="s">
        <v>709</v>
      </c>
      <c r="O51" s="1" t="s">
        <v>259</v>
      </c>
      <c r="P51" s="1" t="s">
        <v>260</v>
      </c>
      <c r="Q51" s="1" t="s">
        <v>710</v>
      </c>
      <c r="R51" s="1" t="s">
        <v>711</v>
      </c>
      <c r="S51" s="1">
        <v>3987</v>
      </c>
      <c r="T51" s="1"/>
      <c r="U51" s="1"/>
      <c r="V51" s="1"/>
      <c r="W51" s="1"/>
      <c r="X51" s="1">
        <v>1039500</v>
      </c>
      <c r="Y51" s="1">
        <v>6</v>
      </c>
      <c r="Z51" s="1">
        <v>6237000</v>
      </c>
      <c r="AA51" s="1"/>
      <c r="AB51" s="1"/>
      <c r="AC51" s="1" t="s">
        <v>263</v>
      </c>
      <c r="AD51" s="1" t="s">
        <v>264</v>
      </c>
      <c r="AE51" s="1">
        <v>49</v>
      </c>
      <c r="AF51" s="1" t="s">
        <v>265</v>
      </c>
      <c r="AG51" s="1">
        <v>6</v>
      </c>
      <c r="AH51" s="1">
        <v>5014</v>
      </c>
      <c r="AI51" s="1"/>
      <c r="AJ51" s="1" t="s">
        <v>712</v>
      </c>
      <c r="AK51" s="1"/>
      <c r="AL51" s="1" t="s">
        <v>267</v>
      </c>
      <c r="AM51" s="1" t="s">
        <v>268</v>
      </c>
      <c r="AN51" s="1" t="s">
        <v>269</v>
      </c>
      <c r="AO51" s="1">
        <v>165</v>
      </c>
      <c r="AP51" s="1"/>
      <c r="AQ51" s="1"/>
      <c r="AR51" s="1"/>
      <c r="AS51" s="1" t="s">
        <v>270</v>
      </c>
      <c r="AT51" s="1" t="s">
        <v>268</v>
      </c>
      <c r="AU51" s="1">
        <v>165</v>
      </c>
      <c r="AV51" s="1" t="s">
        <v>263</v>
      </c>
      <c r="AW51" s="1" t="s">
        <v>264</v>
      </c>
      <c r="AX51" s="1"/>
      <c r="AY51" s="1"/>
      <c r="AZ51" s="1">
        <v>15353</v>
      </c>
      <c r="BA51" s="1" t="s">
        <v>267</v>
      </c>
      <c r="BB51" s="1"/>
      <c r="BC51" s="1">
        <v>118</v>
      </c>
      <c r="BD51" s="1" t="s">
        <v>491</v>
      </c>
      <c r="BE51" s="1"/>
      <c r="BF51" s="1"/>
      <c r="BG51" s="1">
        <v>11</v>
      </c>
      <c r="BH51" s="1" t="s">
        <v>272</v>
      </c>
      <c r="BI51" s="1">
        <v>17159449</v>
      </c>
      <c r="BJ51" s="1" t="s">
        <v>273</v>
      </c>
      <c r="BK51" s="1" t="s">
        <v>274</v>
      </c>
      <c r="BL51" s="1"/>
      <c r="BM51" s="1">
        <v>247</v>
      </c>
      <c r="BN51" s="1">
        <v>351</v>
      </c>
      <c r="BO51" s="1"/>
      <c r="BP51" s="1" t="s">
        <v>713</v>
      </c>
      <c r="BQ51" s="1" t="s">
        <v>2</v>
      </c>
      <c r="BR51" s="1"/>
      <c r="BS51" s="1">
        <v>3987</v>
      </c>
      <c r="BT51" s="1"/>
      <c r="BU51" s="1"/>
      <c r="BV51" s="1"/>
      <c r="BW51" s="1"/>
      <c r="BX51" s="1"/>
      <c r="BY51" s="1"/>
    </row>
    <row r="52" spans="1:77" x14ac:dyDescent="0.2">
      <c r="A52">
        <v>50</v>
      </c>
      <c r="B52" s="1" t="s">
        <v>251</v>
      </c>
      <c r="C52" s="1" t="s">
        <v>252</v>
      </c>
      <c r="D52" s="1">
        <v>27279218146</v>
      </c>
      <c r="E52" s="1">
        <v>27921814</v>
      </c>
      <c r="F52" s="1" t="s">
        <v>714</v>
      </c>
      <c r="G52" s="1" t="s">
        <v>714</v>
      </c>
      <c r="H52" s="1" t="s">
        <v>715</v>
      </c>
      <c r="I52" s="1" t="s">
        <v>161</v>
      </c>
      <c r="J52" s="1" t="s">
        <v>716</v>
      </c>
      <c r="K52" s="1" t="s">
        <v>717</v>
      </c>
      <c r="L52" s="1" t="s">
        <v>718</v>
      </c>
      <c r="M52" s="1">
        <v>2475653</v>
      </c>
      <c r="N52" s="1" t="s">
        <v>719</v>
      </c>
      <c r="O52" s="1" t="s">
        <v>331</v>
      </c>
      <c r="P52" s="1" t="s">
        <v>402</v>
      </c>
      <c r="Q52" s="1" t="s">
        <v>554</v>
      </c>
      <c r="R52" s="1" t="s">
        <v>720</v>
      </c>
      <c r="S52" s="1">
        <v>532</v>
      </c>
      <c r="T52" s="1"/>
      <c r="U52" s="1"/>
      <c r="V52" s="1"/>
      <c r="W52" s="1"/>
      <c r="X52" s="1">
        <v>1842500</v>
      </c>
      <c r="Y52" s="1">
        <v>6</v>
      </c>
      <c r="Z52" s="1">
        <v>11055000</v>
      </c>
      <c r="AA52" s="1"/>
      <c r="AB52" s="1"/>
      <c r="AC52" s="1" t="s">
        <v>263</v>
      </c>
      <c r="AD52" s="1" t="s">
        <v>264</v>
      </c>
      <c r="AE52" s="1">
        <v>50</v>
      </c>
      <c r="AF52" s="1" t="s">
        <v>265</v>
      </c>
      <c r="AG52" s="1">
        <v>6</v>
      </c>
      <c r="AH52" s="1">
        <v>5000</v>
      </c>
      <c r="AI52" s="1" t="s">
        <v>721</v>
      </c>
      <c r="AJ52" s="1"/>
      <c r="AK52" s="1"/>
      <c r="AL52" s="1" t="s">
        <v>267</v>
      </c>
      <c r="AM52" s="1" t="s">
        <v>268</v>
      </c>
      <c r="AN52" s="1" t="s">
        <v>269</v>
      </c>
      <c r="AO52" s="1">
        <v>159</v>
      </c>
      <c r="AP52" s="1"/>
      <c r="AQ52" s="1"/>
      <c r="AR52" s="1"/>
      <c r="AS52" s="1" t="s">
        <v>270</v>
      </c>
      <c r="AT52" s="1" t="s">
        <v>268</v>
      </c>
      <c r="AU52" s="1">
        <v>159</v>
      </c>
      <c r="AV52" s="1" t="s">
        <v>263</v>
      </c>
      <c r="AW52" s="1" t="s">
        <v>264</v>
      </c>
      <c r="AX52" s="1"/>
      <c r="AY52" s="1"/>
      <c r="AZ52" s="1">
        <v>26844</v>
      </c>
      <c r="BA52" s="1" t="s">
        <v>294</v>
      </c>
      <c r="BB52" s="1"/>
      <c r="BC52" s="1">
        <v>118</v>
      </c>
      <c r="BD52" s="1" t="s">
        <v>260</v>
      </c>
      <c r="BE52" s="1"/>
      <c r="BF52" s="1"/>
      <c r="BG52" s="1">
        <v>11</v>
      </c>
      <c r="BH52" s="1" t="s">
        <v>272</v>
      </c>
      <c r="BI52" s="1">
        <v>17159449</v>
      </c>
      <c r="BJ52" s="1" t="s">
        <v>273</v>
      </c>
      <c r="BK52" s="1" t="s">
        <v>274</v>
      </c>
      <c r="BL52" s="1"/>
      <c r="BM52" s="1"/>
      <c r="BN52" s="1">
        <v>351</v>
      </c>
      <c r="BO52" s="1"/>
      <c r="BP52" s="1" t="s">
        <v>722</v>
      </c>
      <c r="BQ52" s="1" t="s">
        <v>2</v>
      </c>
      <c r="BR52" s="1"/>
      <c r="BS52" s="1">
        <v>532</v>
      </c>
      <c r="BT52" s="1"/>
      <c r="BU52" s="1"/>
      <c r="BV52" s="1"/>
      <c r="BW52" s="1"/>
      <c r="BX52" s="1"/>
      <c r="BY52" s="1"/>
    </row>
    <row r="53" spans="1:77" x14ac:dyDescent="0.2">
      <c r="A53">
        <v>51</v>
      </c>
      <c r="B53" s="1" t="s">
        <v>251</v>
      </c>
      <c r="C53" s="1" t="s">
        <v>252</v>
      </c>
      <c r="D53" s="1">
        <v>27396920773</v>
      </c>
      <c r="E53" s="1">
        <v>39692077</v>
      </c>
      <c r="F53" s="1" t="s">
        <v>723</v>
      </c>
      <c r="G53" s="1" t="s">
        <v>723</v>
      </c>
      <c r="H53" s="1" t="s">
        <v>724</v>
      </c>
      <c r="I53" s="1" t="s">
        <v>162</v>
      </c>
      <c r="J53" s="1" t="s">
        <v>725</v>
      </c>
      <c r="K53" s="1" t="s">
        <v>726</v>
      </c>
      <c r="L53" s="1" t="s">
        <v>257</v>
      </c>
      <c r="M53" s="1">
        <v>5168710</v>
      </c>
      <c r="N53" s="1" t="s">
        <v>727</v>
      </c>
      <c r="O53" s="1" t="s">
        <v>259</v>
      </c>
      <c r="P53" s="1" t="s">
        <v>260</v>
      </c>
      <c r="Q53" s="1" t="s">
        <v>728</v>
      </c>
      <c r="R53" s="1" t="s">
        <v>729</v>
      </c>
      <c r="S53" s="1">
        <v>1839</v>
      </c>
      <c r="T53" s="1"/>
      <c r="U53" s="1"/>
      <c r="V53" s="1"/>
      <c r="W53" s="1"/>
      <c r="X53" s="1">
        <v>1380500</v>
      </c>
      <c r="Y53" s="1">
        <v>6</v>
      </c>
      <c r="Z53" s="1">
        <v>8283000</v>
      </c>
      <c r="AA53" s="1"/>
      <c r="AB53" s="1"/>
      <c r="AC53" s="1" t="s">
        <v>263</v>
      </c>
      <c r="AD53" s="1" t="s">
        <v>264</v>
      </c>
      <c r="AE53" s="1">
        <v>51</v>
      </c>
      <c r="AF53" s="1" t="s">
        <v>265</v>
      </c>
      <c r="AG53" s="1">
        <v>6</v>
      </c>
      <c r="AH53" s="1">
        <v>5000</v>
      </c>
      <c r="AI53" s="1"/>
      <c r="AJ53" s="1">
        <v>3919299</v>
      </c>
      <c r="AK53" s="1"/>
      <c r="AL53" s="1" t="s">
        <v>267</v>
      </c>
      <c r="AM53" s="1" t="s">
        <v>268</v>
      </c>
      <c r="AN53" s="1" t="s">
        <v>269</v>
      </c>
      <c r="AO53" s="1">
        <v>33912</v>
      </c>
      <c r="AP53" s="1"/>
      <c r="AQ53" s="1"/>
      <c r="AR53" s="1"/>
      <c r="AS53" s="1" t="s">
        <v>270</v>
      </c>
      <c r="AT53" s="1" t="s">
        <v>268</v>
      </c>
      <c r="AU53" s="1">
        <v>33912</v>
      </c>
      <c r="AV53" s="1" t="s">
        <v>263</v>
      </c>
      <c r="AW53" s="1" t="s">
        <v>264</v>
      </c>
      <c r="AX53" s="1"/>
      <c r="AY53" s="1"/>
      <c r="AZ53" s="1">
        <v>6097</v>
      </c>
      <c r="BA53" s="1" t="s">
        <v>267</v>
      </c>
      <c r="BB53" s="1"/>
      <c r="BC53" s="1">
        <v>118</v>
      </c>
      <c r="BD53" s="1" t="s">
        <v>260</v>
      </c>
      <c r="BE53" s="1" t="s">
        <v>271</v>
      </c>
      <c r="BF53" s="1"/>
      <c r="BG53" s="1">
        <v>11</v>
      </c>
      <c r="BH53" s="1" t="s">
        <v>272</v>
      </c>
      <c r="BI53" s="1">
        <v>17159449</v>
      </c>
      <c r="BJ53" s="1" t="s">
        <v>273</v>
      </c>
      <c r="BK53" s="1" t="s">
        <v>274</v>
      </c>
      <c r="BL53" s="1"/>
      <c r="BM53" s="1">
        <v>247</v>
      </c>
      <c r="BN53" s="1">
        <v>351</v>
      </c>
      <c r="BO53" s="1"/>
      <c r="BP53" s="1" t="s">
        <v>730</v>
      </c>
      <c r="BQ53" s="1" t="s">
        <v>2</v>
      </c>
      <c r="BR53" s="1"/>
      <c r="BS53" s="1">
        <v>1839</v>
      </c>
      <c r="BT53" s="1"/>
      <c r="BU53" s="1"/>
      <c r="BV53" s="1"/>
      <c r="BW53" s="1"/>
      <c r="BX53" s="1"/>
      <c r="BY53" s="1"/>
    </row>
    <row r="54" spans="1:77" x14ac:dyDescent="0.2">
      <c r="A54">
        <v>52</v>
      </c>
      <c r="B54" s="1" t="s">
        <v>251</v>
      </c>
      <c r="C54" s="1" t="s">
        <v>252</v>
      </c>
      <c r="D54" s="1">
        <v>20420516933</v>
      </c>
      <c r="E54" s="1">
        <v>42051693</v>
      </c>
      <c r="F54" s="1" t="s">
        <v>731</v>
      </c>
      <c r="G54" s="1" t="s">
        <v>731</v>
      </c>
      <c r="H54" s="1" t="s">
        <v>732</v>
      </c>
      <c r="I54" s="1" t="s">
        <v>163</v>
      </c>
      <c r="J54" s="1" t="s">
        <v>733</v>
      </c>
      <c r="K54" s="1" t="s">
        <v>734</v>
      </c>
      <c r="L54" s="1" t="s">
        <v>257</v>
      </c>
      <c r="M54" s="1">
        <v>3543531</v>
      </c>
      <c r="N54" s="1" t="s">
        <v>735</v>
      </c>
      <c r="O54" s="1"/>
      <c r="P54" s="1" t="s">
        <v>362</v>
      </c>
      <c r="Q54" s="1" t="s">
        <v>736</v>
      </c>
      <c r="R54" s="1" t="s">
        <v>737</v>
      </c>
      <c r="S54" s="1">
        <v>7115</v>
      </c>
      <c r="T54" s="1"/>
      <c r="U54" s="1"/>
      <c r="V54" s="1"/>
      <c r="W54" s="1"/>
      <c r="X54" s="1">
        <v>1155000</v>
      </c>
      <c r="Y54" s="1">
        <v>6</v>
      </c>
      <c r="Z54" s="1">
        <v>6930000</v>
      </c>
      <c r="AA54" s="1"/>
      <c r="AB54" s="1"/>
      <c r="AC54" s="1" t="s">
        <v>263</v>
      </c>
      <c r="AD54" s="1" t="s">
        <v>264</v>
      </c>
      <c r="AE54" s="1">
        <v>52</v>
      </c>
      <c r="AF54" s="1" t="s">
        <v>265</v>
      </c>
      <c r="AG54" s="1">
        <v>6</v>
      </c>
      <c r="AH54" s="1">
        <v>5000</v>
      </c>
      <c r="AI54" s="1"/>
      <c r="AJ54" s="1" t="s">
        <v>738</v>
      </c>
      <c r="AK54" s="1"/>
      <c r="AL54" s="1" t="s">
        <v>267</v>
      </c>
      <c r="AM54" s="1" t="s">
        <v>268</v>
      </c>
      <c r="AN54" s="1" t="s">
        <v>269</v>
      </c>
      <c r="AO54" s="1">
        <v>39007</v>
      </c>
      <c r="AP54" s="1"/>
      <c r="AQ54" s="1"/>
      <c r="AR54" s="1"/>
      <c r="AS54" s="1" t="s">
        <v>270</v>
      </c>
      <c r="AT54" s="1" t="s">
        <v>268</v>
      </c>
      <c r="AU54" s="1">
        <v>39007</v>
      </c>
      <c r="AV54" s="1" t="s">
        <v>263</v>
      </c>
      <c r="AW54" s="1" t="s">
        <v>264</v>
      </c>
      <c r="AX54" s="1"/>
      <c r="AY54" s="1"/>
      <c r="AZ54" s="1">
        <v>6098</v>
      </c>
      <c r="BA54" s="1" t="s">
        <v>267</v>
      </c>
      <c r="BB54" s="1"/>
      <c r="BC54" s="1">
        <v>118</v>
      </c>
      <c r="BD54" s="1" t="s">
        <v>260</v>
      </c>
      <c r="BE54" s="1" t="s">
        <v>271</v>
      </c>
      <c r="BF54" s="1"/>
      <c r="BG54" s="1">
        <v>11</v>
      </c>
      <c r="BH54" s="1" t="s">
        <v>272</v>
      </c>
      <c r="BI54" s="1">
        <v>17159449</v>
      </c>
      <c r="BJ54" s="1" t="s">
        <v>273</v>
      </c>
      <c r="BK54" s="1" t="s">
        <v>295</v>
      </c>
      <c r="BL54" s="1"/>
      <c r="BM54" s="1">
        <v>576</v>
      </c>
      <c r="BN54" s="1">
        <v>351</v>
      </c>
      <c r="BO54" s="1"/>
      <c r="BP54" s="1" t="s">
        <v>739</v>
      </c>
      <c r="BQ54" s="1" t="s">
        <v>2</v>
      </c>
      <c r="BR54" s="1"/>
      <c r="BS54" s="1">
        <v>7115</v>
      </c>
      <c r="BT54" s="1"/>
      <c r="BU54" s="1"/>
      <c r="BV54" s="1"/>
      <c r="BW54" s="1"/>
      <c r="BX54" s="1"/>
      <c r="BY54" s="1"/>
    </row>
    <row r="55" spans="1:77" x14ac:dyDescent="0.2">
      <c r="A55">
        <v>53</v>
      </c>
      <c r="B55" s="1" t="s">
        <v>251</v>
      </c>
      <c r="C55" s="1" t="s">
        <v>252</v>
      </c>
      <c r="D55" s="1">
        <v>20286577904</v>
      </c>
      <c r="E55" s="1">
        <v>28657790</v>
      </c>
      <c r="F55" s="1" t="s">
        <v>740</v>
      </c>
      <c r="G55" s="1" t="s">
        <v>741</v>
      </c>
      <c r="H55" s="1" t="s">
        <v>742</v>
      </c>
      <c r="I55" s="1" t="s">
        <v>164</v>
      </c>
      <c r="J55" s="1" t="s">
        <v>743</v>
      </c>
      <c r="K55" s="1" t="s">
        <v>744</v>
      </c>
      <c r="L55" s="1" t="s">
        <v>257</v>
      </c>
      <c r="M55" s="1">
        <v>3512122889</v>
      </c>
      <c r="N55" s="1" t="s">
        <v>745</v>
      </c>
      <c r="O55" s="1" t="s">
        <v>259</v>
      </c>
      <c r="P55" s="1" t="s">
        <v>260</v>
      </c>
      <c r="Q55" s="1" t="s">
        <v>600</v>
      </c>
      <c r="R55" s="1" t="s">
        <v>746</v>
      </c>
      <c r="S55" s="1">
        <v>6136</v>
      </c>
      <c r="T55" s="1"/>
      <c r="U55" s="1"/>
      <c r="V55" s="1"/>
      <c r="W55" s="1"/>
      <c r="X55" s="1">
        <v>1155000</v>
      </c>
      <c r="Y55" s="1">
        <v>6</v>
      </c>
      <c r="Z55" s="1">
        <v>6930000</v>
      </c>
      <c r="AA55" s="1"/>
      <c r="AB55" s="1"/>
      <c r="AC55" s="1" t="s">
        <v>263</v>
      </c>
      <c r="AD55" s="1" t="s">
        <v>264</v>
      </c>
      <c r="AE55" s="1">
        <v>53</v>
      </c>
      <c r="AF55" s="1" t="s">
        <v>265</v>
      </c>
      <c r="AG55" s="1">
        <v>6</v>
      </c>
      <c r="AH55" s="1"/>
      <c r="AI55" s="1"/>
      <c r="AJ55" s="1" t="s">
        <v>747</v>
      </c>
      <c r="AK55" s="1"/>
      <c r="AL55" s="1" t="s">
        <v>267</v>
      </c>
      <c r="AM55" s="1" t="s">
        <v>268</v>
      </c>
      <c r="AN55" s="1"/>
      <c r="AO55" s="1">
        <v>37318</v>
      </c>
      <c r="AP55" s="1"/>
      <c r="AQ55" s="1"/>
      <c r="AR55" s="1"/>
      <c r="AS55" s="1"/>
      <c r="AT55" s="1" t="s">
        <v>268</v>
      </c>
      <c r="AU55" s="1">
        <v>37318</v>
      </c>
      <c r="AV55" s="1" t="s">
        <v>263</v>
      </c>
      <c r="AW55" s="1" t="s">
        <v>264</v>
      </c>
      <c r="AX55" s="1"/>
      <c r="AY55" s="1"/>
      <c r="AZ55" s="1">
        <v>15234</v>
      </c>
      <c r="BA55" s="1" t="s">
        <v>267</v>
      </c>
      <c r="BB55" s="1"/>
      <c r="BC55" s="1">
        <v>118</v>
      </c>
      <c r="BD55" s="1"/>
      <c r="BE55" s="1" t="s">
        <v>271</v>
      </c>
      <c r="BF55" s="1"/>
      <c r="BG55" s="1">
        <v>11</v>
      </c>
      <c r="BH55" s="1" t="s">
        <v>272</v>
      </c>
      <c r="BI55" s="1">
        <v>17159449</v>
      </c>
      <c r="BJ55" s="1" t="s">
        <v>273</v>
      </c>
      <c r="BK55" s="1"/>
      <c r="BL55" s="1"/>
      <c r="BM55" s="1">
        <v>247</v>
      </c>
      <c r="BN55" s="1"/>
      <c r="BO55" s="1"/>
      <c r="BP55" s="1" t="s">
        <v>748</v>
      </c>
      <c r="BQ55" s="1" t="s">
        <v>2</v>
      </c>
      <c r="BR55" s="1"/>
      <c r="BS55" s="1">
        <v>6136</v>
      </c>
      <c r="BT55" s="1"/>
      <c r="BU55" s="1"/>
      <c r="BV55" s="1"/>
      <c r="BW55" s="1"/>
      <c r="BX55" s="1"/>
      <c r="BY55" s="1"/>
    </row>
    <row r="56" spans="1:77" x14ac:dyDescent="0.2">
      <c r="A56">
        <v>54</v>
      </c>
      <c r="B56" s="1" t="s">
        <v>251</v>
      </c>
      <c r="C56" s="1" t="s">
        <v>252</v>
      </c>
      <c r="D56" s="1">
        <v>20433705824</v>
      </c>
      <c r="E56" s="1">
        <v>43370582</v>
      </c>
      <c r="F56" s="1" t="s">
        <v>749</v>
      </c>
      <c r="G56" s="1" t="s">
        <v>749</v>
      </c>
      <c r="H56" s="1" t="s">
        <v>750</v>
      </c>
      <c r="I56" s="1" t="s">
        <v>165</v>
      </c>
      <c r="J56" s="1" t="s">
        <v>751</v>
      </c>
      <c r="K56" s="1" t="s">
        <v>752</v>
      </c>
      <c r="L56" s="1" t="s">
        <v>257</v>
      </c>
      <c r="M56" s="1">
        <v>3513373091</v>
      </c>
      <c r="N56" s="1" t="s">
        <v>753</v>
      </c>
      <c r="O56" s="1" t="s">
        <v>259</v>
      </c>
      <c r="P56" s="1" t="s">
        <v>754</v>
      </c>
      <c r="Q56" s="1" t="s">
        <v>755</v>
      </c>
      <c r="R56" s="1" t="s">
        <v>756</v>
      </c>
      <c r="S56" s="1">
        <v>536</v>
      </c>
      <c r="T56" s="1"/>
      <c r="U56" s="1"/>
      <c r="V56" s="1"/>
      <c r="W56" s="1"/>
      <c r="X56" s="1">
        <v>693000</v>
      </c>
      <c r="Y56" s="1">
        <v>6</v>
      </c>
      <c r="Z56" s="1">
        <v>4158000</v>
      </c>
      <c r="AA56" s="1"/>
      <c r="AB56" s="1"/>
      <c r="AC56" s="1" t="s">
        <v>263</v>
      </c>
      <c r="AD56" s="1" t="s">
        <v>264</v>
      </c>
      <c r="AE56" s="1">
        <v>54</v>
      </c>
      <c r="AF56" s="1" t="s">
        <v>757</v>
      </c>
      <c r="AG56" s="1">
        <v>6</v>
      </c>
      <c r="AH56" s="1">
        <v>5000</v>
      </c>
      <c r="AI56" s="1"/>
      <c r="AJ56" s="1">
        <v>3930782</v>
      </c>
      <c r="AK56" s="1"/>
      <c r="AL56" s="1" t="s">
        <v>267</v>
      </c>
      <c r="AM56" s="1" t="s">
        <v>268</v>
      </c>
      <c r="AN56" s="1" t="s">
        <v>269</v>
      </c>
      <c r="AO56" s="1">
        <v>37330</v>
      </c>
      <c r="AP56" s="1"/>
      <c r="AQ56" s="1"/>
      <c r="AR56" s="1"/>
      <c r="AS56" s="1" t="s">
        <v>392</v>
      </c>
      <c r="AT56" s="1" t="s">
        <v>268</v>
      </c>
      <c r="AU56" s="1">
        <v>37330</v>
      </c>
      <c r="AV56" s="1" t="s">
        <v>263</v>
      </c>
      <c r="AW56" s="1" t="s">
        <v>264</v>
      </c>
      <c r="AX56" s="1"/>
      <c r="AY56" s="1"/>
      <c r="AZ56" s="1">
        <v>15102</v>
      </c>
      <c r="BA56" s="1" t="s">
        <v>267</v>
      </c>
      <c r="BB56" s="1"/>
      <c r="BC56" s="1">
        <v>118</v>
      </c>
      <c r="BD56" s="1" t="s">
        <v>362</v>
      </c>
      <c r="BE56" s="1" t="s">
        <v>271</v>
      </c>
      <c r="BF56" s="1"/>
      <c r="BG56" s="1">
        <v>11</v>
      </c>
      <c r="BH56" s="1" t="s">
        <v>272</v>
      </c>
      <c r="BI56" s="1">
        <v>17159449</v>
      </c>
      <c r="BJ56" s="1" t="s">
        <v>273</v>
      </c>
      <c r="BK56" s="1" t="s">
        <v>295</v>
      </c>
      <c r="BL56" s="1"/>
      <c r="BM56" s="1">
        <v>247</v>
      </c>
      <c r="BN56" s="1">
        <v>351</v>
      </c>
      <c r="BO56" s="1"/>
      <c r="BP56" s="1" t="s">
        <v>758</v>
      </c>
      <c r="BQ56" s="1" t="s">
        <v>2</v>
      </c>
      <c r="BR56" s="1"/>
      <c r="BS56" s="1">
        <v>536</v>
      </c>
      <c r="BT56" s="1"/>
      <c r="BU56" s="1"/>
      <c r="BV56" s="1"/>
      <c r="BW56" s="1"/>
      <c r="BX56" s="1"/>
      <c r="BY56" s="1"/>
    </row>
    <row r="57" spans="1:77" x14ac:dyDescent="0.2">
      <c r="A57">
        <v>55</v>
      </c>
      <c r="B57" s="1" t="s">
        <v>251</v>
      </c>
      <c r="C57" s="1" t="s">
        <v>252</v>
      </c>
      <c r="D57" s="1">
        <v>20256522420</v>
      </c>
      <c r="E57" s="1">
        <v>25652242</v>
      </c>
      <c r="F57" s="1" t="s">
        <v>759</v>
      </c>
      <c r="G57" s="1" t="s">
        <v>759</v>
      </c>
      <c r="H57" s="1" t="s">
        <v>760</v>
      </c>
      <c r="I57" s="1" t="s">
        <v>166</v>
      </c>
      <c r="J57" s="1" t="s">
        <v>761</v>
      </c>
      <c r="K57" s="1" t="s">
        <v>762</v>
      </c>
      <c r="L57" s="1" t="s">
        <v>257</v>
      </c>
      <c r="M57" s="1">
        <v>2506000</v>
      </c>
      <c r="N57" s="1" t="s">
        <v>763</v>
      </c>
      <c r="O57" s="1" t="s">
        <v>331</v>
      </c>
      <c r="P57" s="1" t="s">
        <v>764</v>
      </c>
      <c r="Q57" s="1" t="s">
        <v>765</v>
      </c>
      <c r="R57" s="1" t="s">
        <v>766</v>
      </c>
      <c r="S57" s="1" t="s">
        <v>335</v>
      </c>
      <c r="T57" s="1"/>
      <c r="U57" s="1"/>
      <c r="V57" s="1"/>
      <c r="W57" s="1"/>
      <c r="X57" s="1">
        <v>1380500</v>
      </c>
      <c r="Y57" s="1">
        <v>6</v>
      </c>
      <c r="Z57" s="1">
        <v>8283000</v>
      </c>
      <c r="AA57" s="1"/>
      <c r="AB57" s="1"/>
      <c r="AC57" s="1" t="s">
        <v>263</v>
      </c>
      <c r="AD57" s="1" t="s">
        <v>264</v>
      </c>
      <c r="AE57" s="1">
        <v>55</v>
      </c>
      <c r="AF57" s="1" t="s">
        <v>265</v>
      </c>
      <c r="AG57" s="1">
        <v>6</v>
      </c>
      <c r="AH57" s="1">
        <v>5000</v>
      </c>
      <c r="AI57" s="1"/>
      <c r="AJ57" s="1"/>
      <c r="AK57" s="1"/>
      <c r="AL57" s="1" t="s">
        <v>267</v>
      </c>
      <c r="AM57" s="1" t="s">
        <v>268</v>
      </c>
      <c r="AN57" s="1" t="s">
        <v>269</v>
      </c>
      <c r="AO57" s="1">
        <v>39225</v>
      </c>
      <c r="AP57" s="1"/>
      <c r="AQ57" s="1"/>
      <c r="AR57" s="1"/>
      <c r="AS57" s="1" t="s">
        <v>270</v>
      </c>
      <c r="AT57" s="1" t="s">
        <v>268</v>
      </c>
      <c r="AU57" s="1">
        <v>39225</v>
      </c>
      <c r="AV57" s="1" t="s">
        <v>263</v>
      </c>
      <c r="AW57" s="1" t="s">
        <v>264</v>
      </c>
      <c r="AX57" s="1"/>
      <c r="AY57" s="1"/>
      <c r="AZ57" s="1">
        <v>6099</v>
      </c>
      <c r="BA57" s="1" t="s">
        <v>267</v>
      </c>
      <c r="BB57" s="1"/>
      <c r="BC57" s="1">
        <v>118</v>
      </c>
      <c r="BD57" s="1" t="s">
        <v>260</v>
      </c>
      <c r="BE57" s="1" t="s">
        <v>271</v>
      </c>
      <c r="BF57" s="1"/>
      <c r="BG57" s="1">
        <v>11</v>
      </c>
      <c r="BH57" s="1" t="s">
        <v>272</v>
      </c>
      <c r="BI57" s="1">
        <v>17159449</v>
      </c>
      <c r="BJ57" s="1" t="s">
        <v>273</v>
      </c>
      <c r="BK57" s="1" t="s">
        <v>295</v>
      </c>
      <c r="BL57" s="1"/>
      <c r="BM57" s="1"/>
      <c r="BN57" s="1">
        <v>351</v>
      </c>
      <c r="BO57" s="1"/>
      <c r="BP57" s="1" t="s">
        <v>767</v>
      </c>
      <c r="BQ57" s="1" t="s">
        <v>2</v>
      </c>
      <c r="BR57" s="1"/>
      <c r="BS57" s="1" t="s">
        <v>335</v>
      </c>
      <c r="BT57" s="1"/>
      <c r="BU57" s="1"/>
      <c r="BV57" s="1"/>
      <c r="BW57" s="1"/>
      <c r="BX57" s="1"/>
      <c r="BY57" s="1"/>
    </row>
    <row r="58" spans="1:77" x14ac:dyDescent="0.2">
      <c r="A58">
        <v>56</v>
      </c>
      <c r="B58" s="1" t="s">
        <v>251</v>
      </c>
      <c r="C58" s="1" t="s">
        <v>252</v>
      </c>
      <c r="D58" s="1">
        <v>27284280062</v>
      </c>
      <c r="E58" s="1">
        <v>28428006</v>
      </c>
      <c r="F58" s="1" t="s">
        <v>768</v>
      </c>
      <c r="G58" s="1" t="s">
        <v>768</v>
      </c>
      <c r="H58" s="1" t="s">
        <v>769</v>
      </c>
      <c r="I58" s="1" t="s">
        <v>167</v>
      </c>
      <c r="J58" s="1" t="s">
        <v>770</v>
      </c>
      <c r="K58" s="1" t="s">
        <v>771</v>
      </c>
      <c r="L58" s="1" t="s">
        <v>257</v>
      </c>
      <c r="M58" s="1">
        <v>7592406</v>
      </c>
      <c r="N58" s="1" t="s">
        <v>772</v>
      </c>
      <c r="O58" s="1" t="s">
        <v>259</v>
      </c>
      <c r="P58" s="1" t="s">
        <v>491</v>
      </c>
      <c r="Q58" s="1" t="s">
        <v>773</v>
      </c>
      <c r="R58" s="1" t="s">
        <v>774</v>
      </c>
      <c r="S58" s="1">
        <v>1536</v>
      </c>
      <c r="T58" s="1"/>
      <c r="U58" s="1"/>
      <c r="V58" s="1"/>
      <c r="W58" s="1"/>
      <c r="X58" s="1">
        <v>924000</v>
      </c>
      <c r="Y58" s="1">
        <v>6</v>
      </c>
      <c r="Z58" s="1">
        <v>5544000</v>
      </c>
      <c r="AA58" s="1"/>
      <c r="AB58" s="1"/>
      <c r="AC58" s="1" t="s">
        <v>263</v>
      </c>
      <c r="AD58" s="1" t="s">
        <v>264</v>
      </c>
      <c r="AE58" s="1">
        <v>56</v>
      </c>
      <c r="AF58" s="1" t="s">
        <v>265</v>
      </c>
      <c r="AG58" s="1">
        <v>6</v>
      </c>
      <c r="AH58" s="1">
        <v>5000</v>
      </c>
      <c r="AI58" s="1"/>
      <c r="AJ58" s="1" t="s">
        <v>775</v>
      </c>
      <c r="AK58" s="1"/>
      <c r="AL58" s="1" t="s">
        <v>267</v>
      </c>
      <c r="AM58" s="1" t="s">
        <v>268</v>
      </c>
      <c r="AN58" s="1" t="s">
        <v>269</v>
      </c>
      <c r="AO58" s="1">
        <v>157</v>
      </c>
      <c r="AP58" s="1"/>
      <c r="AQ58" s="1"/>
      <c r="AR58" s="1"/>
      <c r="AS58" s="1" t="s">
        <v>270</v>
      </c>
      <c r="AT58" s="1" t="s">
        <v>268</v>
      </c>
      <c r="AU58" s="1">
        <v>157</v>
      </c>
      <c r="AV58" s="1" t="s">
        <v>263</v>
      </c>
      <c r="AW58" s="1" t="s">
        <v>264</v>
      </c>
      <c r="AX58" s="1"/>
      <c r="AY58" s="1"/>
      <c r="AZ58" s="1">
        <v>15356</v>
      </c>
      <c r="BA58" s="1" t="s">
        <v>267</v>
      </c>
      <c r="BB58" s="1"/>
      <c r="BC58" s="1">
        <v>118</v>
      </c>
      <c r="BD58" s="1" t="s">
        <v>260</v>
      </c>
      <c r="BE58" s="1"/>
      <c r="BF58" s="1"/>
      <c r="BG58" s="1">
        <v>11</v>
      </c>
      <c r="BH58" s="1" t="s">
        <v>272</v>
      </c>
      <c r="BI58" s="1">
        <v>17159449</v>
      </c>
      <c r="BJ58" s="1" t="s">
        <v>273</v>
      </c>
      <c r="BK58" s="1" t="s">
        <v>274</v>
      </c>
      <c r="BL58" s="1"/>
      <c r="BM58" s="1">
        <v>247</v>
      </c>
      <c r="BN58" s="1">
        <v>351</v>
      </c>
      <c r="BO58" s="1"/>
      <c r="BP58" s="1" t="s">
        <v>776</v>
      </c>
      <c r="BQ58" s="1" t="s">
        <v>2</v>
      </c>
      <c r="BR58" s="1"/>
      <c r="BS58" s="1">
        <v>1536</v>
      </c>
      <c r="BT58" s="1"/>
      <c r="BU58" s="1"/>
      <c r="BV58" s="1"/>
      <c r="BW58" s="1"/>
      <c r="BX58" s="1"/>
      <c r="BY58" s="1"/>
    </row>
    <row r="59" spans="1:77" x14ac:dyDescent="0.2">
      <c r="A59">
        <v>57</v>
      </c>
      <c r="B59" s="1" t="s">
        <v>251</v>
      </c>
      <c r="C59" s="1" t="s">
        <v>252</v>
      </c>
      <c r="D59" s="1">
        <v>20419637603</v>
      </c>
      <c r="E59" s="1">
        <v>41963760</v>
      </c>
      <c r="F59" s="1" t="s">
        <v>777</v>
      </c>
      <c r="G59" s="1" t="s">
        <v>777</v>
      </c>
      <c r="H59" s="1" t="s">
        <v>778</v>
      </c>
      <c r="I59" s="1" t="s">
        <v>168</v>
      </c>
      <c r="J59" s="1" t="s">
        <v>779</v>
      </c>
      <c r="K59" s="1" t="s">
        <v>780</v>
      </c>
      <c r="L59" s="1" t="s">
        <v>257</v>
      </c>
      <c r="M59" s="1">
        <v>7897098</v>
      </c>
      <c r="N59" s="1" t="s">
        <v>781</v>
      </c>
      <c r="O59" s="1"/>
      <c r="P59" s="1" t="s">
        <v>362</v>
      </c>
      <c r="Q59" s="1" t="s">
        <v>782</v>
      </c>
      <c r="R59" s="1" t="s">
        <v>783</v>
      </c>
      <c r="S59" s="1">
        <v>3375</v>
      </c>
      <c r="T59" s="1"/>
      <c r="U59" s="1" t="s">
        <v>784</v>
      </c>
      <c r="V59" s="1"/>
      <c r="W59" s="1"/>
      <c r="X59" s="1">
        <v>1155000</v>
      </c>
      <c r="Y59" s="1">
        <v>6</v>
      </c>
      <c r="Z59" s="1">
        <v>6930000</v>
      </c>
      <c r="AA59" s="1"/>
      <c r="AB59" s="1"/>
      <c r="AC59" s="1" t="s">
        <v>263</v>
      </c>
      <c r="AD59" s="1" t="s">
        <v>264</v>
      </c>
      <c r="AE59" s="1">
        <v>57</v>
      </c>
      <c r="AF59" s="1" t="s">
        <v>265</v>
      </c>
      <c r="AG59" s="1">
        <v>6</v>
      </c>
      <c r="AH59" s="1">
        <v>5000</v>
      </c>
      <c r="AI59" s="1"/>
      <c r="AJ59" s="1"/>
      <c r="AK59" s="1"/>
      <c r="AL59" s="1" t="s">
        <v>267</v>
      </c>
      <c r="AM59" s="1" t="s">
        <v>268</v>
      </c>
      <c r="AN59" s="1" t="s">
        <v>269</v>
      </c>
      <c r="AO59" s="1">
        <v>38671</v>
      </c>
      <c r="AP59" s="1"/>
      <c r="AQ59" s="1"/>
      <c r="AR59" s="1"/>
      <c r="AS59" s="1" t="s">
        <v>392</v>
      </c>
      <c r="AT59" s="1" t="s">
        <v>268</v>
      </c>
      <c r="AU59" s="1">
        <v>38671</v>
      </c>
      <c r="AV59" s="1" t="s">
        <v>263</v>
      </c>
      <c r="AW59" s="1" t="s">
        <v>264</v>
      </c>
      <c r="AX59" s="1"/>
      <c r="AY59" s="1"/>
      <c r="AZ59" s="1">
        <v>6100</v>
      </c>
      <c r="BA59" s="1" t="s">
        <v>267</v>
      </c>
      <c r="BB59" s="1"/>
      <c r="BC59" s="1">
        <v>118</v>
      </c>
      <c r="BD59" s="1" t="s">
        <v>260</v>
      </c>
      <c r="BE59" s="1" t="s">
        <v>271</v>
      </c>
      <c r="BF59" s="1"/>
      <c r="BG59" s="1">
        <v>11</v>
      </c>
      <c r="BH59" s="1" t="s">
        <v>272</v>
      </c>
      <c r="BI59" s="1">
        <v>17159449</v>
      </c>
      <c r="BJ59" s="1" t="s">
        <v>273</v>
      </c>
      <c r="BK59" s="1" t="s">
        <v>295</v>
      </c>
      <c r="BL59" s="1"/>
      <c r="BM59" s="1"/>
      <c r="BN59" s="1">
        <v>351</v>
      </c>
      <c r="BO59" s="1"/>
      <c r="BP59" s="1" t="s">
        <v>785</v>
      </c>
      <c r="BQ59" s="1" t="s">
        <v>2</v>
      </c>
      <c r="BR59" s="1"/>
      <c r="BS59" s="1">
        <v>3375</v>
      </c>
      <c r="BT59" s="1"/>
      <c r="BU59" s="1"/>
      <c r="BV59" s="1"/>
      <c r="BW59" s="1"/>
      <c r="BX59" s="1"/>
      <c r="BY59" s="1"/>
    </row>
    <row r="60" spans="1:77" x14ac:dyDescent="0.2">
      <c r="A60">
        <v>58</v>
      </c>
      <c r="B60" s="1" t="s">
        <v>251</v>
      </c>
      <c r="C60" s="1" t="s">
        <v>252</v>
      </c>
      <c r="D60" s="1">
        <v>20330904365</v>
      </c>
      <c r="E60" s="1">
        <v>33090436</v>
      </c>
      <c r="F60" s="1" t="s">
        <v>786</v>
      </c>
      <c r="G60" s="1" t="s">
        <v>786</v>
      </c>
      <c r="H60" s="1" t="s">
        <v>787</v>
      </c>
      <c r="I60" s="1" t="s">
        <v>169</v>
      </c>
      <c r="J60" s="1" t="s">
        <v>788</v>
      </c>
      <c r="K60" s="1" t="s">
        <v>789</v>
      </c>
      <c r="L60" s="1" t="s">
        <v>257</v>
      </c>
      <c r="M60" s="1">
        <v>6142238</v>
      </c>
      <c r="N60" s="1" t="s">
        <v>790</v>
      </c>
      <c r="O60" s="1" t="s">
        <v>259</v>
      </c>
      <c r="P60" s="1" t="s">
        <v>260</v>
      </c>
      <c r="Q60" s="1" t="s">
        <v>791</v>
      </c>
      <c r="R60" s="1" t="s">
        <v>792</v>
      </c>
      <c r="S60" s="1">
        <v>883</v>
      </c>
      <c r="T60" s="1">
        <v>8</v>
      </c>
      <c r="U60" s="1" t="s">
        <v>793</v>
      </c>
      <c r="V60" s="1">
        <v>3</v>
      </c>
      <c r="W60" s="1"/>
      <c r="X60" s="1">
        <v>1155000</v>
      </c>
      <c r="Y60" s="1">
        <v>6</v>
      </c>
      <c r="Z60" s="1">
        <v>6930000</v>
      </c>
      <c r="AA60" s="1"/>
      <c r="AB60" s="1"/>
      <c r="AC60" s="1" t="s">
        <v>263</v>
      </c>
      <c r="AD60" s="1" t="s">
        <v>264</v>
      </c>
      <c r="AE60" s="1">
        <v>58</v>
      </c>
      <c r="AF60" s="1" t="s">
        <v>265</v>
      </c>
      <c r="AG60" s="1">
        <v>6</v>
      </c>
      <c r="AH60" s="1">
        <v>5000</v>
      </c>
      <c r="AI60" s="1"/>
      <c r="AJ60" s="1" t="s">
        <v>794</v>
      </c>
      <c r="AK60" s="1"/>
      <c r="AL60" s="1" t="s">
        <v>267</v>
      </c>
      <c r="AM60" s="1" t="s">
        <v>268</v>
      </c>
      <c r="AN60" s="1" t="s">
        <v>269</v>
      </c>
      <c r="AO60" s="1">
        <v>38993</v>
      </c>
      <c r="AP60" s="1"/>
      <c r="AQ60" s="1"/>
      <c r="AR60" s="1"/>
      <c r="AS60" s="1" t="s">
        <v>270</v>
      </c>
      <c r="AT60" s="1" t="s">
        <v>268</v>
      </c>
      <c r="AU60" s="1">
        <v>38993</v>
      </c>
      <c r="AV60" s="1" t="s">
        <v>263</v>
      </c>
      <c r="AW60" s="1" t="s">
        <v>264</v>
      </c>
      <c r="AX60" s="1"/>
      <c r="AY60" s="1"/>
      <c r="AZ60" s="1">
        <v>15115</v>
      </c>
      <c r="BA60" s="1" t="s">
        <v>267</v>
      </c>
      <c r="BB60" s="1"/>
      <c r="BC60" s="1">
        <v>118</v>
      </c>
      <c r="BD60" s="1" t="s">
        <v>260</v>
      </c>
      <c r="BE60" s="1" t="s">
        <v>271</v>
      </c>
      <c r="BF60" s="1"/>
      <c r="BG60" s="1">
        <v>11</v>
      </c>
      <c r="BH60" s="1" t="s">
        <v>272</v>
      </c>
      <c r="BI60" s="1">
        <v>17159449</v>
      </c>
      <c r="BJ60" s="1" t="s">
        <v>273</v>
      </c>
      <c r="BK60" s="1" t="s">
        <v>295</v>
      </c>
      <c r="BL60" s="1"/>
      <c r="BM60" s="1">
        <v>247</v>
      </c>
      <c r="BN60" s="1">
        <v>351</v>
      </c>
      <c r="BO60" s="1"/>
      <c r="BP60" s="1" t="s">
        <v>795</v>
      </c>
      <c r="BQ60" s="1" t="s">
        <v>2</v>
      </c>
      <c r="BR60" s="1"/>
      <c r="BS60" s="1">
        <v>883</v>
      </c>
      <c r="BT60" s="1"/>
      <c r="BU60" s="1"/>
      <c r="BV60" s="1"/>
      <c r="BW60" s="1"/>
      <c r="BX60" s="1"/>
      <c r="BY60" s="1"/>
    </row>
    <row r="61" spans="1:77" x14ac:dyDescent="0.2">
      <c r="A61">
        <v>59</v>
      </c>
      <c r="B61" s="1" t="s">
        <v>251</v>
      </c>
      <c r="C61" s="1" t="s">
        <v>252</v>
      </c>
      <c r="D61" s="1">
        <v>20292070749</v>
      </c>
      <c r="E61" s="1">
        <v>29207074</v>
      </c>
      <c r="F61" s="1" t="s">
        <v>796</v>
      </c>
      <c r="G61" s="1" t="s">
        <v>796</v>
      </c>
      <c r="H61" s="1" t="s">
        <v>797</v>
      </c>
      <c r="I61" s="1" t="s">
        <v>170</v>
      </c>
      <c r="J61" s="1" t="s">
        <v>798</v>
      </c>
      <c r="K61" s="1" t="s">
        <v>799</v>
      </c>
      <c r="L61" s="1" t="s">
        <v>257</v>
      </c>
      <c r="M61" s="1">
        <v>6502640</v>
      </c>
      <c r="N61" s="1" t="s">
        <v>800</v>
      </c>
      <c r="O61" s="1" t="s">
        <v>401</v>
      </c>
      <c r="P61" s="1" t="s">
        <v>801</v>
      </c>
      <c r="Q61" s="1" t="s">
        <v>802</v>
      </c>
      <c r="R61" s="1" t="s">
        <v>803</v>
      </c>
      <c r="S61" s="1">
        <v>672</v>
      </c>
      <c r="T61" s="1"/>
      <c r="U61" s="1"/>
      <c r="V61" s="1"/>
      <c r="W61" s="1"/>
      <c r="X61" s="1">
        <v>1380500</v>
      </c>
      <c r="Y61" s="1">
        <v>6</v>
      </c>
      <c r="Z61" s="1">
        <v>8283000</v>
      </c>
      <c r="AA61" s="1"/>
      <c r="AB61" s="1"/>
      <c r="AC61" s="1" t="s">
        <v>263</v>
      </c>
      <c r="AD61" s="1" t="s">
        <v>264</v>
      </c>
      <c r="AE61" s="1">
        <v>59</v>
      </c>
      <c r="AF61" s="1" t="s">
        <v>265</v>
      </c>
      <c r="AG61" s="1">
        <v>6</v>
      </c>
      <c r="AH61" s="1">
        <v>5000</v>
      </c>
      <c r="AI61" s="1"/>
      <c r="AJ61" s="1" t="s">
        <v>804</v>
      </c>
      <c r="AK61" s="1"/>
      <c r="AL61" s="1" t="s">
        <v>267</v>
      </c>
      <c r="AM61" s="1" t="s">
        <v>268</v>
      </c>
      <c r="AN61" s="1" t="s">
        <v>269</v>
      </c>
      <c r="AO61" s="1">
        <v>39009</v>
      </c>
      <c r="AP61" s="1"/>
      <c r="AQ61" s="1"/>
      <c r="AR61" s="1"/>
      <c r="AS61" s="1" t="s">
        <v>270</v>
      </c>
      <c r="AT61" s="1" t="s">
        <v>268</v>
      </c>
      <c r="AU61" s="1">
        <v>39009</v>
      </c>
      <c r="AV61" s="1" t="s">
        <v>263</v>
      </c>
      <c r="AW61" s="1" t="s">
        <v>264</v>
      </c>
      <c r="AX61" s="1"/>
      <c r="AY61" s="1"/>
      <c r="AZ61" s="1">
        <v>15232</v>
      </c>
      <c r="BA61" s="1" t="s">
        <v>267</v>
      </c>
      <c r="BB61" s="1"/>
      <c r="BC61" s="1">
        <v>118</v>
      </c>
      <c r="BD61" s="1" t="s">
        <v>260</v>
      </c>
      <c r="BE61" s="1" t="s">
        <v>271</v>
      </c>
      <c r="BF61" s="1"/>
      <c r="BG61" s="1">
        <v>11</v>
      </c>
      <c r="BH61" s="1" t="s">
        <v>272</v>
      </c>
      <c r="BI61" s="1">
        <v>17159449</v>
      </c>
      <c r="BJ61" s="1" t="s">
        <v>273</v>
      </c>
      <c r="BK61" s="1" t="s">
        <v>295</v>
      </c>
      <c r="BL61" s="1"/>
      <c r="BM61" s="1">
        <v>247</v>
      </c>
      <c r="BN61" s="1">
        <v>351</v>
      </c>
      <c r="BO61" s="1"/>
      <c r="BP61" s="1" t="s">
        <v>805</v>
      </c>
      <c r="BQ61" s="1" t="s">
        <v>2</v>
      </c>
      <c r="BR61" s="1"/>
      <c r="BS61" s="1">
        <v>672</v>
      </c>
      <c r="BT61" s="1"/>
      <c r="BU61" s="1"/>
      <c r="BV61" s="1"/>
      <c r="BW61" s="1"/>
      <c r="BX61" s="1"/>
      <c r="BY61" s="1"/>
    </row>
    <row r="62" spans="1:77" x14ac:dyDescent="0.2">
      <c r="A62">
        <v>61</v>
      </c>
      <c r="B62" s="1" t="s">
        <v>251</v>
      </c>
      <c r="C62" s="1" t="s">
        <v>252</v>
      </c>
      <c r="D62" s="1">
        <v>20238241341</v>
      </c>
      <c r="E62" s="1">
        <v>23824134</v>
      </c>
      <c r="F62" s="1" t="s">
        <v>806</v>
      </c>
      <c r="G62" s="1" t="s">
        <v>806</v>
      </c>
      <c r="H62" s="1" t="s">
        <v>807</v>
      </c>
      <c r="I62" s="1" t="s">
        <v>171</v>
      </c>
      <c r="J62" s="1" t="s">
        <v>808</v>
      </c>
      <c r="K62" s="1" t="s">
        <v>809</v>
      </c>
      <c r="L62" s="1" t="s">
        <v>257</v>
      </c>
      <c r="M62" s="1">
        <v>5552485</v>
      </c>
      <c r="N62" s="1" t="s">
        <v>810</v>
      </c>
      <c r="O62" s="1"/>
      <c r="P62" s="1" t="s">
        <v>260</v>
      </c>
      <c r="Q62" s="1" t="s">
        <v>811</v>
      </c>
      <c r="R62" s="1" t="s">
        <v>812</v>
      </c>
      <c r="S62" s="1">
        <v>476</v>
      </c>
      <c r="T62" s="1"/>
      <c r="U62" s="1"/>
      <c r="V62" s="1"/>
      <c r="W62" s="1"/>
      <c r="X62" s="1">
        <v>1380500</v>
      </c>
      <c r="Y62" s="1">
        <v>6</v>
      </c>
      <c r="Z62" s="1">
        <v>8283000</v>
      </c>
      <c r="AA62" s="1"/>
      <c r="AB62" s="1"/>
      <c r="AC62" s="1" t="s">
        <v>263</v>
      </c>
      <c r="AD62" s="1" t="s">
        <v>264</v>
      </c>
      <c r="AE62" s="1">
        <v>60</v>
      </c>
      <c r="AF62" s="1" t="s">
        <v>265</v>
      </c>
      <c r="AG62" s="1">
        <v>6</v>
      </c>
      <c r="AH62" s="1">
        <v>5000</v>
      </c>
      <c r="AI62" s="1"/>
      <c r="AJ62" s="1" t="s">
        <v>813</v>
      </c>
      <c r="AK62" s="1"/>
      <c r="AL62" s="1" t="s">
        <v>267</v>
      </c>
      <c r="AM62" s="1" t="s">
        <v>268</v>
      </c>
      <c r="AN62" s="1" t="s">
        <v>269</v>
      </c>
      <c r="AO62" s="1">
        <v>39228</v>
      </c>
      <c r="AP62" s="1"/>
      <c r="AQ62" s="1"/>
      <c r="AR62" s="1"/>
      <c r="AS62" s="1" t="s">
        <v>270</v>
      </c>
      <c r="AT62" s="1" t="s">
        <v>268</v>
      </c>
      <c r="AU62" s="1">
        <v>39228</v>
      </c>
      <c r="AV62" s="1" t="s">
        <v>263</v>
      </c>
      <c r="AW62" s="1" t="s">
        <v>264</v>
      </c>
      <c r="AX62" s="1"/>
      <c r="AY62" s="1"/>
      <c r="AZ62" s="1">
        <v>15375</v>
      </c>
      <c r="BA62" s="1" t="s">
        <v>267</v>
      </c>
      <c r="BB62" s="1"/>
      <c r="BC62" s="1">
        <v>118</v>
      </c>
      <c r="BD62" s="1" t="s">
        <v>260</v>
      </c>
      <c r="BE62" s="1" t="s">
        <v>271</v>
      </c>
      <c r="BF62" s="1"/>
      <c r="BG62" s="1">
        <v>11</v>
      </c>
      <c r="BH62" s="1" t="s">
        <v>272</v>
      </c>
      <c r="BI62" s="1">
        <v>17159449</v>
      </c>
      <c r="BJ62" s="1" t="s">
        <v>273</v>
      </c>
      <c r="BK62" s="1" t="s">
        <v>295</v>
      </c>
      <c r="BL62" s="1"/>
      <c r="BM62" s="1">
        <v>247</v>
      </c>
      <c r="BN62" s="1">
        <v>351</v>
      </c>
      <c r="BO62" s="1"/>
      <c r="BP62" s="1" t="s">
        <v>814</v>
      </c>
      <c r="BQ62" s="1" t="s">
        <v>2</v>
      </c>
      <c r="BR62" s="1"/>
      <c r="BS62" s="1">
        <v>476</v>
      </c>
      <c r="BT62" s="1"/>
      <c r="BU62" s="1"/>
      <c r="BV62" s="1"/>
      <c r="BW62" s="1"/>
      <c r="BX62" s="1"/>
      <c r="BY62" s="1"/>
    </row>
    <row r="63" spans="1:77" x14ac:dyDescent="0.2">
      <c r="A63">
        <v>62</v>
      </c>
      <c r="B63" s="1" t="s">
        <v>251</v>
      </c>
      <c r="C63" s="1" t="s">
        <v>252</v>
      </c>
      <c r="D63" s="1">
        <v>20445803635</v>
      </c>
      <c r="E63" s="1">
        <v>44580363</v>
      </c>
      <c r="F63" s="1" t="s">
        <v>806</v>
      </c>
      <c r="G63" s="1" t="s">
        <v>806</v>
      </c>
      <c r="H63" s="1" t="s">
        <v>815</v>
      </c>
      <c r="I63" s="1" t="s">
        <v>172</v>
      </c>
      <c r="J63" s="1" t="s">
        <v>816</v>
      </c>
      <c r="K63" s="1" t="s">
        <v>817</v>
      </c>
      <c r="L63" s="1" t="s">
        <v>257</v>
      </c>
      <c r="M63" s="1">
        <v>3518095620</v>
      </c>
      <c r="N63" s="1" t="s">
        <v>818</v>
      </c>
      <c r="O63" s="1"/>
      <c r="P63" s="1" t="s">
        <v>362</v>
      </c>
      <c r="Q63" s="1" t="s">
        <v>819</v>
      </c>
      <c r="R63" s="1" t="s">
        <v>820</v>
      </c>
      <c r="S63" s="1">
        <v>476</v>
      </c>
      <c r="T63" s="1"/>
      <c r="U63" s="1"/>
      <c r="V63" s="1"/>
      <c r="W63" s="1"/>
      <c r="X63" s="1">
        <v>1039500</v>
      </c>
      <c r="Y63" s="1">
        <v>6</v>
      </c>
      <c r="Z63" s="1">
        <v>6237000</v>
      </c>
      <c r="AA63" s="1"/>
      <c r="AB63" s="1"/>
      <c r="AC63" s="1" t="s">
        <v>263</v>
      </c>
      <c r="AD63" s="1" t="s">
        <v>264</v>
      </c>
      <c r="AE63" s="1">
        <v>61</v>
      </c>
      <c r="AF63" s="1" t="s">
        <v>265</v>
      </c>
      <c r="AG63" s="1">
        <v>6</v>
      </c>
      <c r="AH63" s="1">
        <v>5000</v>
      </c>
      <c r="AI63" s="1"/>
      <c r="AJ63" s="1"/>
      <c r="AK63" s="1"/>
      <c r="AL63" s="1" t="s">
        <v>267</v>
      </c>
      <c r="AM63" s="1" t="s">
        <v>268</v>
      </c>
      <c r="AN63" s="1" t="s">
        <v>269</v>
      </c>
      <c r="AO63" s="1">
        <v>38434</v>
      </c>
      <c r="AP63" s="1"/>
      <c r="AQ63" s="1"/>
      <c r="AR63" s="1"/>
      <c r="AS63" s="1" t="s">
        <v>270</v>
      </c>
      <c r="AT63" s="1" t="s">
        <v>268</v>
      </c>
      <c r="AU63" s="1">
        <v>38434</v>
      </c>
      <c r="AV63" s="1" t="s">
        <v>263</v>
      </c>
      <c r="AW63" s="1" t="s">
        <v>264</v>
      </c>
      <c r="AX63" s="1"/>
      <c r="AY63" s="1"/>
      <c r="AZ63" s="1">
        <v>6103</v>
      </c>
      <c r="BA63" s="1" t="s">
        <v>267</v>
      </c>
      <c r="BB63" s="1"/>
      <c r="BC63" s="1">
        <v>118</v>
      </c>
      <c r="BD63" s="1" t="s">
        <v>821</v>
      </c>
      <c r="BE63" s="1" t="s">
        <v>271</v>
      </c>
      <c r="BF63" s="1"/>
      <c r="BG63" s="1">
        <v>11</v>
      </c>
      <c r="BH63" s="1" t="s">
        <v>272</v>
      </c>
      <c r="BI63" s="1">
        <v>17159449</v>
      </c>
      <c r="BJ63" s="1" t="s">
        <v>273</v>
      </c>
      <c r="BK63" s="1" t="s">
        <v>295</v>
      </c>
      <c r="BL63" s="1"/>
      <c r="BM63" s="1"/>
      <c r="BN63" s="1">
        <v>351</v>
      </c>
      <c r="BO63" s="1"/>
      <c r="BP63" s="1" t="s">
        <v>822</v>
      </c>
      <c r="BQ63" s="1" t="s">
        <v>2</v>
      </c>
      <c r="BR63" s="1"/>
      <c r="BS63" s="1">
        <v>476</v>
      </c>
      <c r="BT63" s="1"/>
      <c r="BU63" s="1"/>
      <c r="BV63" s="1"/>
      <c r="BW63" s="1"/>
      <c r="BX63" s="1"/>
      <c r="BY63" s="1"/>
    </row>
    <row r="64" spans="1:77" x14ac:dyDescent="0.2">
      <c r="A64">
        <v>63</v>
      </c>
      <c r="B64" s="1" t="s">
        <v>251</v>
      </c>
      <c r="C64" s="1" t="s">
        <v>252</v>
      </c>
      <c r="D64" s="1">
        <v>23416819564</v>
      </c>
      <c r="E64" s="1">
        <v>41681956</v>
      </c>
      <c r="F64" s="1" t="s">
        <v>806</v>
      </c>
      <c r="G64" s="1" t="s">
        <v>806</v>
      </c>
      <c r="H64" s="1" t="s">
        <v>823</v>
      </c>
      <c r="I64" s="1" t="s">
        <v>173</v>
      </c>
      <c r="J64" s="1" t="s">
        <v>824</v>
      </c>
      <c r="K64" s="1" t="s">
        <v>825</v>
      </c>
      <c r="L64" s="1" t="s">
        <v>257</v>
      </c>
      <c r="M64" s="1">
        <v>3512383722</v>
      </c>
      <c r="N64" s="1" t="s">
        <v>826</v>
      </c>
      <c r="O64" s="1"/>
      <c r="P64" s="1" t="s">
        <v>827</v>
      </c>
      <c r="Q64" s="1" t="s">
        <v>554</v>
      </c>
      <c r="R64" s="1" t="s">
        <v>828</v>
      </c>
      <c r="S64" s="1">
        <v>15</v>
      </c>
      <c r="T64" s="1"/>
      <c r="U64" s="1"/>
      <c r="V64" s="1"/>
      <c r="W64" s="1"/>
      <c r="X64" s="1">
        <v>1039500</v>
      </c>
      <c r="Y64" s="1">
        <v>6</v>
      </c>
      <c r="Z64" s="1">
        <v>6237000</v>
      </c>
      <c r="AA64" s="1"/>
      <c r="AB64" s="1"/>
      <c r="AC64" s="1" t="s">
        <v>263</v>
      </c>
      <c r="AD64" s="1" t="s">
        <v>264</v>
      </c>
      <c r="AE64" s="1">
        <v>62</v>
      </c>
      <c r="AF64" s="1" t="s">
        <v>265</v>
      </c>
      <c r="AG64" s="1">
        <v>6</v>
      </c>
      <c r="AH64" s="1">
        <v>5000</v>
      </c>
      <c r="AI64" s="1"/>
      <c r="AJ64" s="1"/>
      <c r="AK64" s="1"/>
      <c r="AL64" s="1" t="s">
        <v>267</v>
      </c>
      <c r="AM64" s="1" t="s">
        <v>268</v>
      </c>
      <c r="AN64" s="1" t="s">
        <v>269</v>
      </c>
      <c r="AO64" s="1">
        <v>38435</v>
      </c>
      <c r="AP64" s="1"/>
      <c r="AQ64" s="1"/>
      <c r="AR64" s="1"/>
      <c r="AS64" s="1" t="s">
        <v>270</v>
      </c>
      <c r="AT64" s="1" t="s">
        <v>268</v>
      </c>
      <c r="AU64" s="1">
        <v>38435</v>
      </c>
      <c r="AV64" s="1" t="s">
        <v>263</v>
      </c>
      <c r="AW64" s="1" t="s">
        <v>264</v>
      </c>
      <c r="AX64" s="1"/>
      <c r="AY64" s="1"/>
      <c r="AZ64" s="1">
        <v>6102</v>
      </c>
      <c r="BA64" s="1" t="s">
        <v>267</v>
      </c>
      <c r="BB64" s="1"/>
      <c r="BC64" s="1">
        <v>118</v>
      </c>
      <c r="BD64" s="1" t="s">
        <v>821</v>
      </c>
      <c r="BE64" s="1" t="s">
        <v>271</v>
      </c>
      <c r="BF64" s="1"/>
      <c r="BG64" s="1">
        <v>11</v>
      </c>
      <c r="BH64" s="1" t="s">
        <v>272</v>
      </c>
      <c r="BI64" s="1">
        <v>17159449</v>
      </c>
      <c r="BJ64" s="1" t="s">
        <v>273</v>
      </c>
      <c r="BK64" s="1" t="s">
        <v>274</v>
      </c>
      <c r="BL64" s="1"/>
      <c r="BM64" s="1"/>
      <c r="BN64" s="1">
        <v>351</v>
      </c>
      <c r="BO64" s="1"/>
      <c r="BP64" s="1" t="s">
        <v>829</v>
      </c>
      <c r="BQ64" s="1" t="s">
        <v>2</v>
      </c>
      <c r="BR64" s="1"/>
      <c r="BS64" s="1">
        <v>15</v>
      </c>
      <c r="BT64" s="1"/>
      <c r="BU64" s="1"/>
      <c r="BV64" s="1"/>
      <c r="BW64" s="1"/>
      <c r="BX64" s="1"/>
      <c r="BY64" s="1"/>
    </row>
    <row r="65" spans="1:77" x14ac:dyDescent="0.2">
      <c r="A65">
        <v>64</v>
      </c>
      <c r="B65" s="1" t="s">
        <v>251</v>
      </c>
      <c r="C65" s="1" t="s">
        <v>252</v>
      </c>
      <c r="D65" s="1">
        <v>20168374004</v>
      </c>
      <c r="E65" s="1">
        <v>16837400</v>
      </c>
      <c r="F65" s="1" t="s">
        <v>830</v>
      </c>
      <c r="G65" s="1" t="s">
        <v>830</v>
      </c>
      <c r="H65" s="1" t="s">
        <v>831</v>
      </c>
      <c r="I65" s="1" t="s">
        <v>174</v>
      </c>
      <c r="J65" s="1" t="s">
        <v>832</v>
      </c>
      <c r="K65" s="1" t="s">
        <v>833</v>
      </c>
      <c r="L65" s="1">
        <v>349</v>
      </c>
      <c r="M65" s="1">
        <v>3040112</v>
      </c>
      <c r="N65" s="1" t="s">
        <v>834</v>
      </c>
      <c r="O65" s="1" t="s">
        <v>259</v>
      </c>
      <c r="P65" s="1" t="s">
        <v>260</v>
      </c>
      <c r="Q65" s="1" t="s">
        <v>677</v>
      </c>
      <c r="R65" s="1" t="s">
        <v>835</v>
      </c>
      <c r="S65" s="1">
        <v>1147</v>
      </c>
      <c r="T65" s="1"/>
      <c r="U65" s="1"/>
      <c r="V65" s="1"/>
      <c r="W65" s="1"/>
      <c r="X65" s="1">
        <v>808500</v>
      </c>
      <c r="Y65" s="1">
        <v>6</v>
      </c>
      <c r="Z65" s="1">
        <v>4851000</v>
      </c>
      <c r="AA65" s="1"/>
      <c r="AB65" s="1"/>
      <c r="AC65" s="1" t="s">
        <v>263</v>
      </c>
      <c r="AD65" s="1" t="s">
        <v>264</v>
      </c>
      <c r="AE65" s="1">
        <v>63</v>
      </c>
      <c r="AF65" s="1" t="s">
        <v>265</v>
      </c>
      <c r="AG65" s="1">
        <v>6</v>
      </c>
      <c r="AH65" s="1">
        <v>5000</v>
      </c>
      <c r="AI65" s="1"/>
      <c r="AJ65" s="1"/>
      <c r="AK65" s="1"/>
      <c r="AL65" s="1" t="s">
        <v>267</v>
      </c>
      <c r="AM65" s="1" t="s">
        <v>268</v>
      </c>
      <c r="AN65" s="1" t="s">
        <v>314</v>
      </c>
      <c r="AO65" s="1">
        <v>167</v>
      </c>
      <c r="AP65" s="1"/>
      <c r="AQ65" s="1"/>
      <c r="AR65" s="1"/>
      <c r="AS65" s="1" t="s">
        <v>270</v>
      </c>
      <c r="AT65" s="1" t="s">
        <v>268</v>
      </c>
      <c r="AU65" s="1">
        <v>167</v>
      </c>
      <c r="AV65" s="1" t="s">
        <v>263</v>
      </c>
      <c r="AW65" s="1" t="s">
        <v>264</v>
      </c>
      <c r="AX65" s="1"/>
      <c r="AY65" s="1"/>
      <c r="AZ65" s="1">
        <v>15237</v>
      </c>
      <c r="BA65" s="1" t="s">
        <v>267</v>
      </c>
      <c r="BB65" s="1"/>
      <c r="BC65" s="1">
        <v>118</v>
      </c>
      <c r="BD65" s="1" t="s">
        <v>260</v>
      </c>
      <c r="BE65" s="1"/>
      <c r="BF65" s="1"/>
      <c r="BG65" s="1">
        <v>11</v>
      </c>
      <c r="BH65" s="1" t="s">
        <v>272</v>
      </c>
      <c r="BI65" s="1">
        <v>17159449</v>
      </c>
      <c r="BJ65" s="1" t="s">
        <v>273</v>
      </c>
      <c r="BK65" s="1" t="s">
        <v>295</v>
      </c>
      <c r="BL65" s="1"/>
      <c r="BM65" s="1"/>
      <c r="BN65" s="1">
        <v>351</v>
      </c>
      <c r="BO65" s="1"/>
      <c r="BP65" s="1" t="s">
        <v>836</v>
      </c>
      <c r="BQ65" s="1" t="s">
        <v>2</v>
      </c>
      <c r="BR65" s="1"/>
      <c r="BS65" s="1">
        <v>1147</v>
      </c>
      <c r="BT65" s="1"/>
      <c r="BU65" s="1"/>
      <c r="BV65" s="1"/>
      <c r="BW65" s="1"/>
      <c r="BX65" s="1"/>
      <c r="BY65" s="1"/>
    </row>
    <row r="66" spans="1:77" x14ac:dyDescent="0.2">
      <c r="A66">
        <v>65</v>
      </c>
      <c r="B66" s="1" t="s">
        <v>251</v>
      </c>
      <c r="C66" s="1" t="s">
        <v>252</v>
      </c>
      <c r="D66" s="1">
        <v>27423045278</v>
      </c>
      <c r="E66" s="1">
        <v>42304527</v>
      </c>
      <c r="F66" s="1" t="s">
        <v>837</v>
      </c>
      <c r="G66" s="1" t="s">
        <v>838</v>
      </c>
      <c r="H66" s="1" t="s">
        <v>839</v>
      </c>
      <c r="I66" s="1" t="s">
        <v>175</v>
      </c>
      <c r="J66" s="1" t="s">
        <v>840</v>
      </c>
      <c r="K66" s="1" t="s">
        <v>841</v>
      </c>
      <c r="L66" s="1" t="s">
        <v>257</v>
      </c>
      <c r="M66" s="1">
        <v>3571571609</v>
      </c>
      <c r="N66" s="1" t="s">
        <v>842</v>
      </c>
      <c r="O66" s="1"/>
      <c r="P66" s="1" t="s">
        <v>843</v>
      </c>
      <c r="Q66" s="1" t="s">
        <v>844</v>
      </c>
      <c r="R66" s="1" t="s">
        <v>845</v>
      </c>
      <c r="S66" s="1">
        <v>507</v>
      </c>
      <c r="T66" s="1"/>
      <c r="U66" s="1"/>
      <c r="V66" s="1"/>
      <c r="W66" s="1"/>
      <c r="X66" s="1">
        <v>1155000</v>
      </c>
      <c r="Y66" s="1">
        <v>6</v>
      </c>
      <c r="Z66" s="1">
        <v>6930000</v>
      </c>
      <c r="AA66" s="1"/>
      <c r="AB66" s="1"/>
      <c r="AC66" s="1" t="s">
        <v>263</v>
      </c>
      <c r="AD66" s="1" t="s">
        <v>264</v>
      </c>
      <c r="AE66" s="1">
        <v>64</v>
      </c>
      <c r="AF66" s="1" t="s">
        <v>265</v>
      </c>
      <c r="AG66" s="1">
        <v>6</v>
      </c>
      <c r="AH66" s="1"/>
      <c r="AI66" s="1"/>
      <c r="AJ66" s="1" t="s">
        <v>846</v>
      </c>
      <c r="AK66" s="1"/>
      <c r="AL66" s="1" t="s">
        <v>267</v>
      </c>
      <c r="AM66" s="1" t="s">
        <v>268</v>
      </c>
      <c r="AN66" s="1"/>
      <c r="AO66" s="1">
        <v>35904</v>
      </c>
      <c r="AP66" s="1"/>
      <c r="AQ66" s="1"/>
      <c r="AR66" s="1"/>
      <c r="AS66" s="1"/>
      <c r="AT66" s="1" t="s">
        <v>268</v>
      </c>
      <c r="AU66" s="1">
        <v>35904</v>
      </c>
      <c r="AV66" s="1" t="s">
        <v>263</v>
      </c>
      <c r="AW66" s="1" t="s">
        <v>264</v>
      </c>
      <c r="AX66" s="1"/>
      <c r="AY66" s="1"/>
      <c r="AZ66" s="1">
        <v>6104</v>
      </c>
      <c r="BA66" s="1" t="s">
        <v>267</v>
      </c>
      <c r="BB66" s="1"/>
      <c r="BC66" s="1">
        <v>118</v>
      </c>
      <c r="BD66" s="1"/>
      <c r="BE66" s="1" t="s">
        <v>271</v>
      </c>
      <c r="BF66" s="1"/>
      <c r="BG66" s="1">
        <v>11</v>
      </c>
      <c r="BH66" s="1" t="s">
        <v>272</v>
      </c>
      <c r="BI66" s="1">
        <v>17159449</v>
      </c>
      <c r="BJ66" s="1" t="s">
        <v>273</v>
      </c>
      <c r="BK66" s="1"/>
      <c r="BL66" s="1"/>
      <c r="BM66" s="1">
        <v>374</v>
      </c>
      <c r="BN66" s="1"/>
      <c r="BO66" s="1"/>
      <c r="BP66" s="1" t="s">
        <v>847</v>
      </c>
      <c r="BQ66" s="1" t="s">
        <v>2</v>
      </c>
      <c r="BR66" s="1"/>
      <c r="BS66" s="1">
        <v>507</v>
      </c>
      <c r="BT66" s="1"/>
      <c r="BU66" s="1"/>
      <c r="BV66" s="1"/>
      <c r="BW66" s="1"/>
      <c r="BX66" s="1"/>
      <c r="BY66" s="1"/>
    </row>
    <row r="67" spans="1:77" x14ac:dyDescent="0.2">
      <c r="A67">
        <v>66</v>
      </c>
      <c r="B67" s="1" t="s">
        <v>251</v>
      </c>
      <c r="C67" s="1" t="s">
        <v>252</v>
      </c>
      <c r="D67" s="1">
        <v>20370957577</v>
      </c>
      <c r="E67" s="1">
        <v>37095757</v>
      </c>
      <c r="F67" s="1" t="s">
        <v>848</v>
      </c>
      <c r="G67" s="1" t="s">
        <v>848</v>
      </c>
      <c r="H67" s="1" t="s">
        <v>849</v>
      </c>
      <c r="I67" s="1" t="s">
        <v>176</v>
      </c>
      <c r="J67" s="1" t="s">
        <v>850</v>
      </c>
      <c r="K67" s="1" t="s">
        <v>851</v>
      </c>
      <c r="L67" s="1">
        <v>913</v>
      </c>
      <c r="M67" s="1">
        <v>2021263</v>
      </c>
      <c r="N67" s="1" t="s">
        <v>852</v>
      </c>
      <c r="O67" s="1" t="s">
        <v>259</v>
      </c>
      <c r="P67" s="1" t="s">
        <v>260</v>
      </c>
      <c r="Q67" s="1" t="s">
        <v>853</v>
      </c>
      <c r="R67" s="1" t="s">
        <v>854</v>
      </c>
      <c r="S67" s="1">
        <v>1686</v>
      </c>
      <c r="T67" s="1"/>
      <c r="U67" s="1"/>
      <c r="V67" s="1"/>
      <c r="W67" s="1"/>
      <c r="X67" s="1">
        <v>1380500</v>
      </c>
      <c r="Y67" s="1">
        <v>6</v>
      </c>
      <c r="Z67" s="1">
        <v>8283000</v>
      </c>
      <c r="AA67" s="1"/>
      <c r="AB67" s="1"/>
      <c r="AC67" s="1" t="s">
        <v>263</v>
      </c>
      <c r="AD67" s="1" t="s">
        <v>264</v>
      </c>
      <c r="AE67" s="1">
        <v>65</v>
      </c>
      <c r="AF67" s="1" t="s">
        <v>265</v>
      </c>
      <c r="AG67" s="1">
        <v>6</v>
      </c>
      <c r="AH67" s="1">
        <v>5000</v>
      </c>
      <c r="AI67" s="1" t="s">
        <v>855</v>
      </c>
      <c r="AJ67" s="1"/>
      <c r="AK67" s="1"/>
      <c r="AL67" s="1" t="s">
        <v>267</v>
      </c>
      <c r="AM67" s="1" t="s">
        <v>268</v>
      </c>
      <c r="AN67" s="1" t="s">
        <v>269</v>
      </c>
      <c r="AO67" s="1">
        <v>38673</v>
      </c>
      <c r="AP67" s="1"/>
      <c r="AQ67" s="1"/>
      <c r="AR67" s="1"/>
      <c r="AS67" s="1" t="s">
        <v>270</v>
      </c>
      <c r="AT67" s="1" t="s">
        <v>268</v>
      </c>
      <c r="AU67" s="1">
        <v>38673</v>
      </c>
      <c r="AV67" s="1" t="s">
        <v>263</v>
      </c>
      <c r="AW67" s="1" t="s">
        <v>264</v>
      </c>
      <c r="AX67" s="1"/>
      <c r="AY67" s="1"/>
      <c r="AZ67" s="1">
        <v>27230</v>
      </c>
      <c r="BA67" s="1" t="s">
        <v>294</v>
      </c>
      <c r="BB67" s="1"/>
      <c r="BC67" s="1">
        <v>118</v>
      </c>
      <c r="BD67" s="1" t="s">
        <v>260</v>
      </c>
      <c r="BE67" s="1" t="s">
        <v>271</v>
      </c>
      <c r="BF67" s="1"/>
      <c r="BG67" s="1">
        <v>11</v>
      </c>
      <c r="BH67" s="1" t="s">
        <v>272</v>
      </c>
      <c r="BI67" s="1">
        <v>17159449</v>
      </c>
      <c r="BJ67" s="1" t="s">
        <v>273</v>
      </c>
      <c r="BK67" s="1" t="s">
        <v>295</v>
      </c>
      <c r="BL67" s="1"/>
      <c r="BM67" s="1"/>
      <c r="BN67" s="1">
        <v>351</v>
      </c>
      <c r="BO67" s="1"/>
      <c r="BP67" s="1" t="s">
        <v>856</v>
      </c>
      <c r="BQ67" s="1" t="s">
        <v>2</v>
      </c>
      <c r="BR67" s="1"/>
      <c r="BS67" s="1">
        <v>1686</v>
      </c>
      <c r="BT67" s="1"/>
      <c r="BU67" s="1"/>
      <c r="BV67" s="1"/>
      <c r="BW67" s="1"/>
      <c r="BX67" s="1"/>
      <c r="BY67" s="1"/>
    </row>
    <row r="68" spans="1:77" x14ac:dyDescent="0.2">
      <c r="A68">
        <v>67</v>
      </c>
      <c r="B68" s="1" t="s">
        <v>251</v>
      </c>
      <c r="C68" s="1" t="s">
        <v>252</v>
      </c>
      <c r="D68" s="1">
        <v>24399346629</v>
      </c>
      <c r="E68" s="1">
        <v>39934662</v>
      </c>
      <c r="F68" s="1" t="s">
        <v>857</v>
      </c>
      <c r="G68" s="1" t="s">
        <v>858</v>
      </c>
      <c r="H68" s="1" t="s">
        <v>859</v>
      </c>
      <c r="I68" s="1" t="s">
        <v>177</v>
      </c>
      <c r="J68" s="1" t="s">
        <v>860</v>
      </c>
      <c r="K68" s="1" t="s">
        <v>861</v>
      </c>
      <c r="L68" s="1" t="s">
        <v>257</v>
      </c>
      <c r="M68" s="1">
        <v>3512670045</v>
      </c>
      <c r="N68" s="1" t="s">
        <v>862</v>
      </c>
      <c r="O68" s="1"/>
      <c r="P68" s="1" t="s">
        <v>362</v>
      </c>
      <c r="Q68" s="1" t="s">
        <v>863</v>
      </c>
      <c r="R68" s="1" t="s">
        <v>864</v>
      </c>
      <c r="S68" s="1">
        <v>2111</v>
      </c>
      <c r="T68" s="1"/>
      <c r="U68" s="1"/>
      <c r="V68" s="1"/>
      <c r="W68" s="1"/>
      <c r="X68" s="1">
        <v>924000</v>
      </c>
      <c r="Y68" s="1">
        <v>6</v>
      </c>
      <c r="Z68" s="1">
        <v>5544000</v>
      </c>
      <c r="AA68" s="1"/>
      <c r="AB68" s="1"/>
      <c r="AC68" s="1" t="s">
        <v>263</v>
      </c>
      <c r="AD68" s="1" t="s">
        <v>264</v>
      </c>
      <c r="AE68" s="1">
        <v>66</v>
      </c>
      <c r="AF68" s="1" t="s">
        <v>265</v>
      </c>
      <c r="AG68" s="1">
        <v>6</v>
      </c>
      <c r="AH68" s="1"/>
      <c r="AI68" s="1"/>
      <c r="AJ68" s="1"/>
      <c r="AK68" s="1"/>
      <c r="AL68" s="1" t="s">
        <v>267</v>
      </c>
      <c r="AM68" s="1" t="s">
        <v>268</v>
      </c>
      <c r="AN68" s="1"/>
      <c r="AO68" s="1">
        <v>33134</v>
      </c>
      <c r="AP68" s="1"/>
      <c r="AQ68" s="1"/>
      <c r="AR68" s="1"/>
      <c r="AS68" s="1"/>
      <c r="AT68" s="1" t="s">
        <v>268</v>
      </c>
      <c r="AU68" s="1">
        <v>33134</v>
      </c>
      <c r="AV68" s="1" t="s">
        <v>263</v>
      </c>
      <c r="AW68" s="1" t="s">
        <v>264</v>
      </c>
      <c r="AX68" s="1"/>
      <c r="AY68" s="1"/>
      <c r="AZ68" s="1">
        <v>6107</v>
      </c>
      <c r="BA68" s="1" t="s">
        <v>267</v>
      </c>
      <c r="BB68" s="1"/>
      <c r="BC68" s="1">
        <v>118</v>
      </c>
      <c r="BD68" s="1"/>
      <c r="BE68" s="1" t="s">
        <v>271</v>
      </c>
      <c r="BF68" s="1"/>
      <c r="BG68" s="1">
        <v>11</v>
      </c>
      <c r="BH68" s="1" t="s">
        <v>272</v>
      </c>
      <c r="BI68" s="1">
        <v>17159449</v>
      </c>
      <c r="BJ68" s="1" t="s">
        <v>273</v>
      </c>
      <c r="BK68" s="1"/>
      <c r="BL68" s="1"/>
      <c r="BM68" s="1"/>
      <c r="BN68" s="1"/>
      <c r="BO68" s="1"/>
      <c r="BP68" s="1" t="s">
        <v>865</v>
      </c>
      <c r="BQ68" s="1" t="s">
        <v>2</v>
      </c>
      <c r="BR68" s="1"/>
      <c r="BS68" s="1">
        <v>2111</v>
      </c>
      <c r="BT68" s="1"/>
      <c r="BU68" s="1"/>
      <c r="BV68" s="1"/>
      <c r="BW68" s="1"/>
      <c r="BX68" s="1"/>
      <c r="BY68" s="1"/>
    </row>
    <row r="69" spans="1:77" x14ac:dyDescent="0.2">
      <c r="A69">
        <v>68</v>
      </c>
      <c r="B69" s="1" t="s">
        <v>251</v>
      </c>
      <c r="C69" s="1" t="s">
        <v>252</v>
      </c>
      <c r="D69" s="1">
        <v>20348389352</v>
      </c>
      <c r="E69" s="1">
        <v>34838935</v>
      </c>
      <c r="F69" s="1" t="s">
        <v>866</v>
      </c>
      <c r="G69" s="1" t="s">
        <v>867</v>
      </c>
      <c r="H69" s="1" t="s">
        <v>868</v>
      </c>
      <c r="I69" s="1" t="s">
        <v>178</v>
      </c>
      <c r="J69" s="1" t="s">
        <v>869</v>
      </c>
      <c r="K69" s="1" t="s">
        <v>870</v>
      </c>
      <c r="L69" s="1" t="s">
        <v>257</v>
      </c>
      <c r="M69" s="1">
        <v>3516439621</v>
      </c>
      <c r="N69" s="1"/>
      <c r="O69" s="1" t="s">
        <v>871</v>
      </c>
      <c r="P69" s="1" t="s">
        <v>260</v>
      </c>
      <c r="Q69" s="1" t="s">
        <v>600</v>
      </c>
      <c r="R69" s="1" t="s">
        <v>872</v>
      </c>
      <c r="S69" s="1">
        <v>6463</v>
      </c>
      <c r="T69" s="1"/>
      <c r="U69" s="1"/>
      <c r="V69" s="1"/>
      <c r="W69" s="1"/>
      <c r="X69" s="1">
        <v>693000</v>
      </c>
      <c r="Y69" s="1">
        <v>6</v>
      </c>
      <c r="Z69" s="1">
        <v>4158000</v>
      </c>
      <c r="AA69" s="1"/>
      <c r="AB69" s="1"/>
      <c r="AC69" s="1" t="s">
        <v>263</v>
      </c>
      <c r="AD69" s="1" t="s">
        <v>264</v>
      </c>
      <c r="AE69" s="1">
        <v>67</v>
      </c>
      <c r="AF69" s="1" t="s">
        <v>265</v>
      </c>
      <c r="AG69" s="1">
        <v>6</v>
      </c>
      <c r="AH69" s="1"/>
      <c r="AI69" s="1" t="s">
        <v>873</v>
      </c>
      <c r="AJ69" s="1"/>
      <c r="AK69" s="1"/>
      <c r="AL69" s="1" t="s">
        <v>267</v>
      </c>
      <c r="AM69" s="1" t="s">
        <v>268</v>
      </c>
      <c r="AN69" s="1"/>
      <c r="AO69" s="1">
        <v>37276</v>
      </c>
      <c r="AP69" s="1"/>
      <c r="AQ69" s="1"/>
      <c r="AR69" s="1"/>
      <c r="AS69" s="1"/>
      <c r="AT69" s="1" t="s">
        <v>268</v>
      </c>
      <c r="AU69" s="1">
        <v>37276</v>
      </c>
      <c r="AV69" s="1" t="s">
        <v>263</v>
      </c>
      <c r="AW69" s="1" t="s">
        <v>264</v>
      </c>
      <c r="AX69" s="1"/>
      <c r="AY69" s="1"/>
      <c r="AZ69" s="1">
        <v>24327</v>
      </c>
      <c r="BA69" s="1" t="s">
        <v>294</v>
      </c>
      <c r="BB69" s="1"/>
      <c r="BC69" s="1">
        <v>118</v>
      </c>
      <c r="BD69" s="1"/>
      <c r="BE69" s="1" t="s">
        <v>271</v>
      </c>
      <c r="BF69" s="1"/>
      <c r="BG69" s="1">
        <v>11</v>
      </c>
      <c r="BH69" s="1" t="s">
        <v>272</v>
      </c>
      <c r="BI69" s="1">
        <v>17159449</v>
      </c>
      <c r="BJ69" s="1" t="s">
        <v>273</v>
      </c>
      <c r="BK69" s="1"/>
      <c r="BL69" s="1"/>
      <c r="BM69" s="1"/>
      <c r="BN69" s="1"/>
      <c r="BO69" s="1"/>
      <c r="BP69" s="1" t="s">
        <v>874</v>
      </c>
      <c r="BQ69" s="1" t="s">
        <v>2</v>
      </c>
      <c r="BR69" s="1"/>
      <c r="BS69" s="1">
        <v>6463</v>
      </c>
      <c r="BT69" s="1"/>
      <c r="BU69" s="1"/>
      <c r="BV69" s="1"/>
      <c r="BW69" s="1"/>
      <c r="BX69" s="1"/>
      <c r="BY69" s="1"/>
    </row>
    <row r="70" spans="1:77" x14ac:dyDescent="0.2">
      <c r="A70">
        <v>69</v>
      </c>
      <c r="B70" s="1" t="s">
        <v>251</v>
      </c>
      <c r="C70" s="1" t="s">
        <v>252</v>
      </c>
      <c r="D70" s="1">
        <v>27361437344</v>
      </c>
      <c r="E70" s="1">
        <v>36143734</v>
      </c>
      <c r="F70" s="1" t="s">
        <v>875</v>
      </c>
      <c r="G70" s="1" t="s">
        <v>875</v>
      </c>
      <c r="H70" s="1" t="s">
        <v>876</v>
      </c>
      <c r="I70" s="1" t="s">
        <v>179</v>
      </c>
      <c r="J70" s="1" t="s">
        <v>877</v>
      </c>
      <c r="K70" s="1" t="s">
        <v>878</v>
      </c>
      <c r="L70" s="1">
        <v>913</v>
      </c>
      <c r="M70" s="1">
        <v>3033341</v>
      </c>
      <c r="N70" s="1" t="s">
        <v>879</v>
      </c>
      <c r="O70" s="1" t="s">
        <v>259</v>
      </c>
      <c r="P70" s="1" t="s">
        <v>260</v>
      </c>
      <c r="Q70" s="1" t="s">
        <v>880</v>
      </c>
      <c r="R70" s="1" t="s">
        <v>881</v>
      </c>
      <c r="S70" s="1">
        <v>5765</v>
      </c>
      <c r="T70" s="1"/>
      <c r="U70" s="1"/>
      <c r="V70" s="1"/>
      <c r="W70" s="1"/>
      <c r="X70" s="1">
        <v>808500</v>
      </c>
      <c r="Y70" s="1">
        <v>6</v>
      </c>
      <c r="Z70" s="1">
        <v>4851000</v>
      </c>
      <c r="AA70" s="1"/>
      <c r="AB70" s="1"/>
      <c r="AC70" s="1" t="s">
        <v>263</v>
      </c>
      <c r="AD70" s="1" t="s">
        <v>264</v>
      </c>
      <c r="AE70" s="1">
        <v>68</v>
      </c>
      <c r="AF70" s="1" t="s">
        <v>265</v>
      </c>
      <c r="AG70" s="1">
        <v>6</v>
      </c>
      <c r="AH70" s="1">
        <v>5000</v>
      </c>
      <c r="AI70" s="1"/>
      <c r="AJ70" s="1" t="s">
        <v>882</v>
      </c>
      <c r="AK70" s="1"/>
      <c r="AL70" s="1" t="s">
        <v>267</v>
      </c>
      <c r="AM70" s="1" t="s">
        <v>268</v>
      </c>
      <c r="AN70" s="1" t="s">
        <v>269</v>
      </c>
      <c r="AO70" s="1">
        <v>37324</v>
      </c>
      <c r="AP70" s="1"/>
      <c r="AQ70" s="1"/>
      <c r="AR70" s="1"/>
      <c r="AS70" s="1" t="s">
        <v>270</v>
      </c>
      <c r="AT70" s="1" t="s">
        <v>268</v>
      </c>
      <c r="AU70" s="1">
        <v>37324</v>
      </c>
      <c r="AV70" s="1" t="s">
        <v>263</v>
      </c>
      <c r="AW70" s="1" t="s">
        <v>264</v>
      </c>
      <c r="AX70" s="1"/>
      <c r="AY70" s="1"/>
      <c r="AZ70" s="1">
        <v>15245</v>
      </c>
      <c r="BA70" s="1" t="s">
        <v>267</v>
      </c>
      <c r="BB70" s="1"/>
      <c r="BC70" s="1">
        <v>118</v>
      </c>
      <c r="BD70" s="1" t="s">
        <v>260</v>
      </c>
      <c r="BE70" s="1" t="s">
        <v>271</v>
      </c>
      <c r="BF70" s="1"/>
      <c r="BG70" s="1">
        <v>11</v>
      </c>
      <c r="BH70" s="1" t="s">
        <v>272</v>
      </c>
      <c r="BI70" s="1">
        <v>17159449</v>
      </c>
      <c r="BJ70" s="1" t="s">
        <v>273</v>
      </c>
      <c r="BK70" s="1" t="s">
        <v>274</v>
      </c>
      <c r="BL70" s="1"/>
      <c r="BM70" s="1">
        <v>247</v>
      </c>
      <c r="BN70" s="1">
        <v>351</v>
      </c>
      <c r="BO70" s="1"/>
      <c r="BP70" s="1" t="s">
        <v>883</v>
      </c>
      <c r="BQ70" s="1" t="s">
        <v>2</v>
      </c>
      <c r="BR70" s="1"/>
      <c r="BS70" s="1">
        <v>5765</v>
      </c>
      <c r="BT70" s="1"/>
      <c r="BU70" s="1"/>
      <c r="BV70" s="1"/>
      <c r="BW70" s="1"/>
      <c r="BX70" s="1"/>
      <c r="BY70" s="1"/>
    </row>
    <row r="71" spans="1:77" x14ac:dyDescent="0.2">
      <c r="A71">
        <v>70</v>
      </c>
      <c r="B71" s="1" t="s">
        <v>251</v>
      </c>
      <c r="C71" s="1" t="s">
        <v>252</v>
      </c>
      <c r="D71" s="1">
        <v>27310414900</v>
      </c>
      <c r="E71" s="1">
        <v>31041490</v>
      </c>
      <c r="F71" s="1" t="s">
        <v>884</v>
      </c>
      <c r="G71" s="1" t="s">
        <v>884</v>
      </c>
      <c r="H71" s="1" t="s">
        <v>885</v>
      </c>
      <c r="I71" s="1" t="s">
        <v>180</v>
      </c>
      <c r="J71" s="1" t="s">
        <v>886</v>
      </c>
      <c r="K71" s="1" t="s">
        <v>887</v>
      </c>
      <c r="L71" s="1" t="s">
        <v>257</v>
      </c>
      <c r="M71" s="1">
        <v>2582283</v>
      </c>
      <c r="N71" s="1" t="s">
        <v>888</v>
      </c>
      <c r="O71" s="1" t="s">
        <v>331</v>
      </c>
      <c r="P71" s="1" t="s">
        <v>889</v>
      </c>
      <c r="Q71" s="1" t="s">
        <v>890</v>
      </c>
      <c r="R71" s="1" t="s">
        <v>891</v>
      </c>
      <c r="S71" s="1">
        <v>1889</v>
      </c>
      <c r="T71" s="1"/>
      <c r="U71" s="1"/>
      <c r="V71" s="1"/>
      <c r="W71" s="1"/>
      <c r="X71" s="1">
        <v>1039500</v>
      </c>
      <c r="Y71" s="1">
        <v>6</v>
      </c>
      <c r="Z71" s="1">
        <v>6237000</v>
      </c>
      <c r="AA71" s="1"/>
      <c r="AB71" s="1"/>
      <c r="AC71" s="1" t="s">
        <v>263</v>
      </c>
      <c r="AD71" s="1" t="s">
        <v>264</v>
      </c>
      <c r="AE71" s="1">
        <v>69</v>
      </c>
      <c r="AF71" s="1" t="s">
        <v>265</v>
      </c>
      <c r="AG71" s="1">
        <v>6</v>
      </c>
      <c r="AH71" s="1">
        <v>5000</v>
      </c>
      <c r="AI71" s="1"/>
      <c r="AJ71" s="1" t="s">
        <v>892</v>
      </c>
      <c r="AK71" s="1"/>
      <c r="AL71" s="1" t="s">
        <v>267</v>
      </c>
      <c r="AM71" s="1" t="s">
        <v>268</v>
      </c>
      <c r="AN71" s="1" t="s">
        <v>893</v>
      </c>
      <c r="AO71" s="1">
        <v>160</v>
      </c>
      <c r="AP71" s="1"/>
      <c r="AQ71" s="1"/>
      <c r="AR71" s="1"/>
      <c r="AS71" s="1" t="s">
        <v>270</v>
      </c>
      <c r="AT71" s="1" t="s">
        <v>268</v>
      </c>
      <c r="AU71" s="1">
        <v>160</v>
      </c>
      <c r="AV71" s="1" t="s">
        <v>263</v>
      </c>
      <c r="AW71" s="1" t="s">
        <v>264</v>
      </c>
      <c r="AX71" s="1"/>
      <c r="AY71" s="1"/>
      <c r="AZ71" s="1">
        <v>15394</v>
      </c>
      <c r="BA71" s="1" t="s">
        <v>267</v>
      </c>
      <c r="BB71" s="1"/>
      <c r="BC71" s="1">
        <v>118</v>
      </c>
      <c r="BD71" s="1" t="s">
        <v>260</v>
      </c>
      <c r="BE71" s="1"/>
      <c r="BF71" s="1"/>
      <c r="BG71" s="1">
        <v>11</v>
      </c>
      <c r="BH71" s="1" t="s">
        <v>272</v>
      </c>
      <c r="BI71" s="1">
        <v>17159449</v>
      </c>
      <c r="BJ71" s="1" t="s">
        <v>273</v>
      </c>
      <c r="BK71" s="1" t="s">
        <v>274</v>
      </c>
      <c r="BL71" s="1"/>
      <c r="BM71" s="1">
        <v>247</v>
      </c>
      <c r="BN71" s="1">
        <v>351</v>
      </c>
      <c r="BO71" s="1"/>
      <c r="BP71" s="1" t="s">
        <v>894</v>
      </c>
      <c r="BQ71" s="1" t="s">
        <v>2</v>
      </c>
      <c r="BR71" s="1"/>
      <c r="BS71" s="1">
        <v>1889</v>
      </c>
      <c r="BT71" s="1"/>
      <c r="BU71" s="1"/>
      <c r="BV71" s="1"/>
      <c r="BW71" s="1"/>
      <c r="BX71" s="1"/>
      <c r="BY71" s="1"/>
    </row>
    <row r="72" spans="1:77" x14ac:dyDescent="0.2">
      <c r="A72">
        <v>71</v>
      </c>
      <c r="B72" s="1" t="s">
        <v>251</v>
      </c>
      <c r="C72" s="1" t="s">
        <v>252</v>
      </c>
      <c r="D72" s="1">
        <v>27448722258</v>
      </c>
      <c r="E72" s="1">
        <v>44872225</v>
      </c>
      <c r="F72" s="1" t="s">
        <v>895</v>
      </c>
      <c r="G72" s="1" t="s">
        <v>895</v>
      </c>
      <c r="H72" s="1" t="s">
        <v>896</v>
      </c>
      <c r="I72" s="1" t="s">
        <v>181</v>
      </c>
      <c r="J72" s="1" t="s">
        <v>897</v>
      </c>
      <c r="K72" s="1" t="s">
        <v>898</v>
      </c>
      <c r="L72" s="1">
        <v>913</v>
      </c>
      <c r="M72" s="1">
        <v>3468411273</v>
      </c>
      <c r="N72" s="1" t="s">
        <v>899</v>
      </c>
      <c r="O72" s="1" t="s">
        <v>343</v>
      </c>
      <c r="P72" s="1" t="s">
        <v>362</v>
      </c>
      <c r="Q72" s="1" t="s">
        <v>844</v>
      </c>
      <c r="R72" s="1" t="s">
        <v>900</v>
      </c>
      <c r="S72" s="1">
        <v>220</v>
      </c>
      <c r="T72" s="1"/>
      <c r="U72" s="1"/>
      <c r="V72" s="1"/>
      <c r="W72" s="1"/>
      <c r="X72" s="1">
        <v>1155000</v>
      </c>
      <c r="Y72" s="1">
        <v>6</v>
      </c>
      <c r="Z72" s="1">
        <v>6930000</v>
      </c>
      <c r="AA72" s="1"/>
      <c r="AB72" s="1"/>
      <c r="AC72" s="1" t="s">
        <v>263</v>
      </c>
      <c r="AD72" s="1" t="s">
        <v>264</v>
      </c>
      <c r="AE72" s="1">
        <v>70</v>
      </c>
      <c r="AF72" s="1" t="s">
        <v>265</v>
      </c>
      <c r="AG72" s="1">
        <v>6</v>
      </c>
      <c r="AH72" s="1">
        <v>5000</v>
      </c>
      <c r="AI72" s="1"/>
      <c r="AJ72" s="1" t="s">
        <v>901</v>
      </c>
      <c r="AK72" s="1"/>
      <c r="AL72" s="1" t="s">
        <v>267</v>
      </c>
      <c r="AM72" s="1" t="s">
        <v>268</v>
      </c>
      <c r="AN72" s="1" t="s">
        <v>269</v>
      </c>
      <c r="AO72" s="1">
        <v>39231</v>
      </c>
      <c r="AP72" s="1"/>
      <c r="AQ72" s="1"/>
      <c r="AR72" s="1"/>
      <c r="AS72" s="1" t="s">
        <v>270</v>
      </c>
      <c r="AT72" s="1" t="s">
        <v>268</v>
      </c>
      <c r="AU72" s="1">
        <v>39231</v>
      </c>
      <c r="AV72" s="1" t="s">
        <v>263</v>
      </c>
      <c r="AW72" s="1" t="s">
        <v>264</v>
      </c>
      <c r="AX72" s="1"/>
      <c r="AY72" s="1"/>
      <c r="AZ72" s="1">
        <v>6057</v>
      </c>
      <c r="BA72" s="1" t="s">
        <v>267</v>
      </c>
      <c r="BB72" s="1"/>
      <c r="BC72" s="1">
        <v>118</v>
      </c>
      <c r="BD72" s="1" t="s">
        <v>260</v>
      </c>
      <c r="BE72" s="1" t="s">
        <v>271</v>
      </c>
      <c r="BF72" s="1"/>
      <c r="BG72" s="1">
        <v>11</v>
      </c>
      <c r="BH72" s="1" t="s">
        <v>272</v>
      </c>
      <c r="BI72" s="1">
        <v>17159449</v>
      </c>
      <c r="BJ72" s="1" t="s">
        <v>273</v>
      </c>
      <c r="BK72" s="1" t="s">
        <v>274</v>
      </c>
      <c r="BL72" s="1"/>
      <c r="BM72" s="1">
        <v>247</v>
      </c>
      <c r="BN72" s="1">
        <v>346</v>
      </c>
      <c r="BO72" s="1"/>
      <c r="BP72" s="1" t="s">
        <v>902</v>
      </c>
      <c r="BQ72" s="1" t="s">
        <v>2</v>
      </c>
      <c r="BR72" s="1"/>
      <c r="BS72" s="1">
        <v>220</v>
      </c>
      <c r="BT72" s="1"/>
      <c r="BU72" s="1"/>
      <c r="BV72" s="1"/>
      <c r="BW72" s="1"/>
      <c r="BX72" s="1"/>
      <c r="BY72" s="1"/>
    </row>
    <row r="73" spans="1:77" x14ac:dyDescent="0.2">
      <c r="A73">
        <v>72</v>
      </c>
      <c r="B73" s="1" t="s">
        <v>251</v>
      </c>
      <c r="C73" s="1" t="s">
        <v>252</v>
      </c>
      <c r="D73" s="1">
        <v>27426411402</v>
      </c>
      <c r="E73" s="1">
        <v>42641140</v>
      </c>
      <c r="F73" s="1" t="s">
        <v>903</v>
      </c>
      <c r="G73" s="1" t="s">
        <v>903</v>
      </c>
      <c r="H73" s="1" t="s">
        <v>904</v>
      </c>
      <c r="I73" s="1" t="s">
        <v>182</v>
      </c>
      <c r="J73" s="1" t="s">
        <v>905</v>
      </c>
      <c r="K73" s="1" t="s">
        <v>906</v>
      </c>
      <c r="L73" s="1" t="s">
        <v>257</v>
      </c>
      <c r="M73" s="1">
        <v>3516840132</v>
      </c>
      <c r="N73" s="1" t="s">
        <v>907</v>
      </c>
      <c r="O73" s="1"/>
      <c r="P73" s="1" t="s">
        <v>260</v>
      </c>
      <c r="Q73" s="1" t="s">
        <v>908</v>
      </c>
      <c r="R73" s="1" t="s">
        <v>909</v>
      </c>
      <c r="S73" s="1">
        <v>3463</v>
      </c>
      <c r="T73" s="1"/>
      <c r="U73" s="1"/>
      <c r="V73" s="1"/>
      <c r="W73" s="1"/>
      <c r="X73" s="1">
        <v>808500</v>
      </c>
      <c r="Y73" s="1">
        <v>6</v>
      </c>
      <c r="Z73" s="1">
        <v>4851000</v>
      </c>
      <c r="AA73" s="1"/>
      <c r="AB73" s="1"/>
      <c r="AC73" s="1" t="s">
        <v>263</v>
      </c>
      <c r="AD73" s="1" t="s">
        <v>264</v>
      </c>
      <c r="AE73" s="1">
        <v>71</v>
      </c>
      <c r="AF73" s="1" t="s">
        <v>265</v>
      </c>
      <c r="AG73" s="1">
        <v>6</v>
      </c>
      <c r="AH73" s="1"/>
      <c r="AI73" s="1"/>
      <c r="AJ73" s="1" t="s">
        <v>910</v>
      </c>
      <c r="AK73" s="1"/>
      <c r="AL73" s="1" t="s">
        <v>267</v>
      </c>
      <c r="AM73" s="1" t="s">
        <v>268</v>
      </c>
      <c r="AN73" s="1"/>
      <c r="AO73" s="1">
        <v>37277</v>
      </c>
      <c r="AP73" s="1"/>
      <c r="AQ73" s="1"/>
      <c r="AR73" s="1"/>
      <c r="AS73" s="1"/>
      <c r="AT73" s="1" t="s">
        <v>268</v>
      </c>
      <c r="AU73" s="1">
        <v>37277</v>
      </c>
      <c r="AV73" s="1" t="s">
        <v>263</v>
      </c>
      <c r="AW73" s="1" t="s">
        <v>264</v>
      </c>
      <c r="AX73" s="1"/>
      <c r="AY73" s="1"/>
      <c r="AZ73" s="1">
        <v>15250</v>
      </c>
      <c r="BA73" s="1" t="s">
        <v>267</v>
      </c>
      <c r="BB73" s="1"/>
      <c r="BC73" s="1">
        <v>118</v>
      </c>
      <c r="BD73" s="1"/>
      <c r="BE73" s="1" t="s">
        <v>271</v>
      </c>
      <c r="BF73" s="1"/>
      <c r="BG73" s="1">
        <v>11</v>
      </c>
      <c r="BH73" s="1" t="s">
        <v>272</v>
      </c>
      <c r="BI73" s="1">
        <v>17159449</v>
      </c>
      <c r="BJ73" s="1" t="s">
        <v>273</v>
      </c>
      <c r="BK73" s="1"/>
      <c r="BL73" s="1"/>
      <c r="BM73" s="1">
        <v>247</v>
      </c>
      <c r="BN73" s="1"/>
      <c r="BO73" s="1"/>
      <c r="BP73" s="1" t="s">
        <v>911</v>
      </c>
      <c r="BQ73" s="1" t="s">
        <v>2</v>
      </c>
      <c r="BR73" s="1"/>
      <c r="BS73" s="1">
        <v>3463</v>
      </c>
      <c r="BT73" s="1"/>
      <c r="BU73" s="1"/>
      <c r="BV73" s="1"/>
      <c r="BW73" s="1"/>
      <c r="BX73" s="1"/>
      <c r="BY73" s="1"/>
    </row>
    <row r="74" spans="1:77" x14ac:dyDescent="0.2">
      <c r="A74">
        <v>73</v>
      </c>
      <c r="B74" s="1" t="s">
        <v>251</v>
      </c>
      <c r="C74" s="1" t="s">
        <v>252</v>
      </c>
      <c r="D74" s="1">
        <v>23363560709</v>
      </c>
      <c r="E74" s="1">
        <v>36356070</v>
      </c>
      <c r="F74" s="1" t="s">
        <v>912</v>
      </c>
      <c r="G74" s="1" t="s">
        <v>912</v>
      </c>
      <c r="H74" s="1" t="s">
        <v>913</v>
      </c>
      <c r="I74" s="1" t="s">
        <v>183</v>
      </c>
      <c r="J74" s="1" t="s">
        <v>914</v>
      </c>
      <c r="K74" s="1" t="s">
        <v>915</v>
      </c>
      <c r="L74" s="1" t="s">
        <v>257</v>
      </c>
      <c r="M74" s="1">
        <v>3905917</v>
      </c>
      <c r="N74" s="1" t="s">
        <v>916</v>
      </c>
      <c r="O74" s="1" t="s">
        <v>259</v>
      </c>
      <c r="P74" s="1" t="s">
        <v>260</v>
      </c>
      <c r="Q74" s="1" t="s">
        <v>500</v>
      </c>
      <c r="R74" s="1" t="s">
        <v>917</v>
      </c>
      <c r="S74" s="1">
        <v>2476</v>
      </c>
      <c r="T74" s="1">
        <v>2</v>
      </c>
      <c r="U74" s="1" t="s">
        <v>472</v>
      </c>
      <c r="V74" s="1"/>
      <c r="W74" s="1"/>
      <c r="X74" s="1">
        <v>1380500</v>
      </c>
      <c r="Y74" s="1">
        <v>6</v>
      </c>
      <c r="Z74" s="1">
        <v>8283000</v>
      </c>
      <c r="AA74" s="1"/>
      <c r="AB74" s="1"/>
      <c r="AC74" s="1" t="s">
        <v>263</v>
      </c>
      <c r="AD74" s="1" t="s">
        <v>264</v>
      </c>
      <c r="AE74" s="1">
        <v>72</v>
      </c>
      <c r="AF74" s="1" t="s">
        <v>265</v>
      </c>
      <c r="AG74" s="1">
        <v>6</v>
      </c>
      <c r="AH74" s="1">
        <v>5000</v>
      </c>
      <c r="AI74" s="1"/>
      <c r="AJ74" s="1"/>
      <c r="AK74" s="1"/>
      <c r="AL74" s="1" t="s">
        <v>267</v>
      </c>
      <c r="AM74" s="1" t="s">
        <v>268</v>
      </c>
      <c r="AN74" s="1" t="s">
        <v>269</v>
      </c>
      <c r="AO74" s="1">
        <v>168</v>
      </c>
      <c r="AP74" s="1"/>
      <c r="AQ74" s="1"/>
      <c r="AR74" s="1"/>
      <c r="AS74" s="1" t="s">
        <v>392</v>
      </c>
      <c r="AT74" s="1" t="s">
        <v>268</v>
      </c>
      <c r="AU74" s="1">
        <v>168</v>
      </c>
      <c r="AV74" s="1" t="s">
        <v>263</v>
      </c>
      <c r="AW74" s="1" t="s">
        <v>264</v>
      </c>
      <c r="AX74" s="1"/>
      <c r="AY74" s="1"/>
      <c r="AZ74" s="1">
        <v>15249</v>
      </c>
      <c r="BA74" s="1" t="s">
        <v>267</v>
      </c>
      <c r="BB74" s="1"/>
      <c r="BC74" s="1">
        <v>118</v>
      </c>
      <c r="BD74" s="1" t="s">
        <v>260</v>
      </c>
      <c r="BE74" s="1"/>
      <c r="BF74" s="1"/>
      <c r="BG74" s="1">
        <v>11</v>
      </c>
      <c r="BH74" s="1" t="s">
        <v>272</v>
      </c>
      <c r="BI74" s="1">
        <v>17159449</v>
      </c>
      <c r="BJ74" s="1" t="s">
        <v>273</v>
      </c>
      <c r="BK74" s="1" t="s">
        <v>295</v>
      </c>
      <c r="BL74" s="1"/>
      <c r="BM74" s="1"/>
      <c r="BN74" s="1">
        <v>351</v>
      </c>
      <c r="BO74" s="1"/>
      <c r="BP74" s="1" t="s">
        <v>918</v>
      </c>
      <c r="BQ74" s="1" t="s">
        <v>2</v>
      </c>
      <c r="BR74" s="1"/>
      <c r="BS74" s="1">
        <v>2476</v>
      </c>
      <c r="BT74" s="1"/>
      <c r="BU74" s="1"/>
      <c r="BV74" s="1"/>
      <c r="BW74" s="1"/>
      <c r="BX74" s="1"/>
      <c r="BY74" s="1"/>
    </row>
    <row r="75" spans="1:77" x14ac:dyDescent="0.2">
      <c r="A75">
        <v>74</v>
      </c>
      <c r="B75" s="1" t="s">
        <v>251</v>
      </c>
      <c r="C75" s="1" t="s">
        <v>252</v>
      </c>
      <c r="D75" s="1">
        <v>20308234917</v>
      </c>
      <c r="E75" s="1">
        <v>30823491</v>
      </c>
      <c r="F75" s="1" t="s">
        <v>919</v>
      </c>
      <c r="G75" s="1" t="s">
        <v>920</v>
      </c>
      <c r="H75" s="1" t="s">
        <v>921</v>
      </c>
      <c r="I75" s="1" t="s">
        <v>184</v>
      </c>
      <c r="J75" s="1" t="s">
        <v>922</v>
      </c>
      <c r="K75" s="1" t="s">
        <v>923</v>
      </c>
      <c r="L75" s="1" t="s">
        <v>257</v>
      </c>
      <c r="M75" s="1">
        <v>2914268185</v>
      </c>
      <c r="N75" s="1" t="s">
        <v>924</v>
      </c>
      <c r="O75" s="1"/>
      <c r="P75" s="1" t="s">
        <v>362</v>
      </c>
      <c r="Q75" s="1" t="s">
        <v>925</v>
      </c>
      <c r="R75" s="1" t="s">
        <v>926</v>
      </c>
      <c r="S75" s="1">
        <v>2840</v>
      </c>
      <c r="T75" s="1"/>
      <c r="U75" s="1"/>
      <c r="V75" s="1"/>
      <c r="W75" s="1"/>
      <c r="X75" s="1">
        <v>924000</v>
      </c>
      <c r="Y75" s="1">
        <v>6</v>
      </c>
      <c r="Z75" s="1">
        <v>5544000</v>
      </c>
      <c r="AA75" s="1"/>
      <c r="AB75" s="1"/>
      <c r="AC75" s="1" t="s">
        <v>263</v>
      </c>
      <c r="AD75" s="1" t="s">
        <v>264</v>
      </c>
      <c r="AE75" s="1">
        <v>73</v>
      </c>
      <c r="AF75" s="1" t="s">
        <v>265</v>
      </c>
      <c r="AG75" s="1">
        <v>6</v>
      </c>
      <c r="AH75" s="1"/>
      <c r="AI75" s="1"/>
      <c r="AJ75" s="1" t="s">
        <v>927</v>
      </c>
      <c r="AK75" s="1"/>
      <c r="AL75" s="1" t="s">
        <v>267</v>
      </c>
      <c r="AM75" s="1" t="s">
        <v>268</v>
      </c>
      <c r="AN75" s="1"/>
      <c r="AO75" s="1">
        <v>33135</v>
      </c>
      <c r="AP75" s="1"/>
      <c r="AQ75" s="1"/>
      <c r="AR75" s="1"/>
      <c r="AS75" s="1"/>
      <c r="AT75" s="1" t="s">
        <v>268</v>
      </c>
      <c r="AU75" s="1">
        <v>33135</v>
      </c>
      <c r="AV75" s="1" t="s">
        <v>263</v>
      </c>
      <c r="AW75" s="1" t="s">
        <v>264</v>
      </c>
      <c r="AX75" s="1"/>
      <c r="AY75" s="1"/>
      <c r="AZ75" s="1">
        <v>6108</v>
      </c>
      <c r="BA75" s="1" t="s">
        <v>267</v>
      </c>
      <c r="BB75" s="1"/>
      <c r="BC75" s="1">
        <v>118</v>
      </c>
      <c r="BD75" s="1"/>
      <c r="BE75" s="1" t="s">
        <v>271</v>
      </c>
      <c r="BF75" s="1"/>
      <c r="BG75" s="1">
        <v>11</v>
      </c>
      <c r="BH75" s="1" t="s">
        <v>272</v>
      </c>
      <c r="BI75" s="1">
        <v>17159449</v>
      </c>
      <c r="BJ75" s="1" t="s">
        <v>273</v>
      </c>
      <c r="BK75" s="1"/>
      <c r="BL75" s="1"/>
      <c r="BM75" s="1">
        <v>247</v>
      </c>
      <c r="BN75" s="1"/>
      <c r="BO75" s="1"/>
      <c r="BP75" s="1" t="s">
        <v>928</v>
      </c>
      <c r="BQ75" s="1" t="s">
        <v>2</v>
      </c>
      <c r="BR75" s="1"/>
      <c r="BS75" s="1">
        <v>2840</v>
      </c>
      <c r="BT75" s="1"/>
      <c r="BU75" s="1"/>
      <c r="BV75" s="1"/>
      <c r="BW75" s="1"/>
      <c r="BX75" s="1"/>
      <c r="BY75" s="1"/>
    </row>
    <row r="76" spans="1:77" x14ac:dyDescent="0.2">
      <c r="A76">
        <v>75</v>
      </c>
      <c r="B76" s="1" t="s">
        <v>251</v>
      </c>
      <c r="C76" s="1" t="s">
        <v>252</v>
      </c>
      <c r="D76" s="1">
        <v>27243565990</v>
      </c>
      <c r="E76" s="1">
        <v>24356599</v>
      </c>
      <c r="F76" s="1" t="s">
        <v>929</v>
      </c>
      <c r="G76" s="1" t="s">
        <v>929</v>
      </c>
      <c r="H76" s="1" t="s">
        <v>930</v>
      </c>
      <c r="I76" s="1" t="s">
        <v>185</v>
      </c>
      <c r="J76" s="1" t="s">
        <v>931</v>
      </c>
      <c r="K76" s="1" t="s">
        <v>932</v>
      </c>
      <c r="L76" s="1">
        <v>913</v>
      </c>
      <c r="M76" s="1">
        <v>2642678</v>
      </c>
      <c r="N76" s="1" t="s">
        <v>933</v>
      </c>
      <c r="O76" s="1" t="s">
        <v>259</v>
      </c>
      <c r="P76" s="1" t="s">
        <v>260</v>
      </c>
      <c r="Q76" s="1" t="s">
        <v>331</v>
      </c>
      <c r="R76" s="1" t="s">
        <v>934</v>
      </c>
      <c r="S76" s="1">
        <v>2318</v>
      </c>
      <c r="T76" s="1"/>
      <c r="U76" s="1"/>
      <c r="V76" s="1"/>
      <c r="W76" s="1"/>
      <c r="X76" s="1">
        <v>1380500</v>
      </c>
      <c r="Y76" s="1">
        <v>2</v>
      </c>
      <c r="Z76" s="1">
        <v>2761000</v>
      </c>
      <c r="AA76" s="1"/>
      <c r="AB76" s="1"/>
      <c r="AC76" s="1" t="s">
        <v>473</v>
      </c>
      <c r="AD76" s="1" t="s">
        <v>264</v>
      </c>
      <c r="AE76" s="1">
        <v>74</v>
      </c>
      <c r="AF76" s="1" t="s">
        <v>265</v>
      </c>
      <c r="AG76" s="1">
        <v>2</v>
      </c>
      <c r="AH76" s="1">
        <v>5000</v>
      </c>
      <c r="AI76" s="1" t="s">
        <v>935</v>
      </c>
      <c r="AJ76" s="1"/>
      <c r="AK76" s="1"/>
      <c r="AL76" s="1" t="s">
        <v>267</v>
      </c>
      <c r="AM76" s="1" t="s">
        <v>268</v>
      </c>
      <c r="AN76" s="1" t="s">
        <v>269</v>
      </c>
      <c r="AO76" s="1">
        <v>1123</v>
      </c>
      <c r="AP76" s="1"/>
      <c r="AQ76" s="1"/>
      <c r="AR76" s="1"/>
      <c r="AS76" s="1" t="s">
        <v>270</v>
      </c>
      <c r="AT76" s="1" t="s">
        <v>268</v>
      </c>
      <c r="AU76" s="1">
        <v>1123</v>
      </c>
      <c r="AV76" s="1" t="s">
        <v>473</v>
      </c>
      <c r="AW76" s="1" t="s">
        <v>264</v>
      </c>
      <c r="AX76" s="1"/>
      <c r="AY76" s="1"/>
      <c r="AZ76" s="1">
        <v>470</v>
      </c>
      <c r="BA76" s="1" t="s">
        <v>294</v>
      </c>
      <c r="BB76" s="1"/>
      <c r="BC76" s="1">
        <v>118</v>
      </c>
      <c r="BD76" s="1" t="s">
        <v>260</v>
      </c>
      <c r="BE76" s="1"/>
      <c r="BF76" s="1"/>
      <c r="BG76" s="1">
        <v>11</v>
      </c>
      <c r="BH76" s="1" t="s">
        <v>272</v>
      </c>
      <c r="BI76" s="1">
        <v>17159449</v>
      </c>
      <c r="BJ76" s="1" t="s">
        <v>273</v>
      </c>
      <c r="BK76" s="1" t="s">
        <v>274</v>
      </c>
      <c r="BL76" s="1"/>
      <c r="BM76" s="1"/>
      <c r="BN76" s="1">
        <v>351</v>
      </c>
      <c r="BO76" s="1"/>
      <c r="BP76" s="1" t="s">
        <v>936</v>
      </c>
      <c r="BQ76" s="1" t="s">
        <v>2</v>
      </c>
      <c r="BR76" s="1"/>
      <c r="BS76" s="1">
        <v>2318</v>
      </c>
      <c r="BT76" s="1"/>
      <c r="BU76" s="1"/>
      <c r="BV76" s="1"/>
      <c r="BW76" s="1"/>
      <c r="BX76" s="1"/>
      <c r="BY76" s="1"/>
    </row>
    <row r="77" spans="1:77" x14ac:dyDescent="0.2">
      <c r="A77">
        <v>76</v>
      </c>
      <c r="B77" s="1" t="s">
        <v>251</v>
      </c>
      <c r="C77" s="1" t="s">
        <v>252</v>
      </c>
      <c r="D77" s="1">
        <v>20294746472</v>
      </c>
      <c r="E77" s="1">
        <v>29474647</v>
      </c>
      <c r="F77" s="1" t="s">
        <v>937</v>
      </c>
      <c r="G77" s="1" t="s">
        <v>937</v>
      </c>
      <c r="H77" s="1" t="s">
        <v>938</v>
      </c>
      <c r="I77" s="1" t="s">
        <v>186</v>
      </c>
      <c r="J77" s="1" t="s">
        <v>939</v>
      </c>
      <c r="K77" s="1" t="s">
        <v>940</v>
      </c>
      <c r="L77" s="1">
        <v>913</v>
      </c>
      <c r="M77" s="1">
        <v>6847856</v>
      </c>
      <c r="N77" s="1" t="s">
        <v>941</v>
      </c>
      <c r="O77" s="1" t="s">
        <v>259</v>
      </c>
      <c r="P77" s="1" t="s">
        <v>260</v>
      </c>
      <c r="Q77" s="1" t="s">
        <v>942</v>
      </c>
      <c r="R77" s="1" t="s">
        <v>943</v>
      </c>
      <c r="S77" s="1">
        <v>4232</v>
      </c>
      <c r="T77" s="1"/>
      <c r="U77" s="1"/>
      <c r="V77" s="1"/>
      <c r="W77" s="1"/>
      <c r="X77" s="1">
        <v>1380500</v>
      </c>
      <c r="Y77" s="1">
        <v>6</v>
      </c>
      <c r="Z77" s="1">
        <v>8283000</v>
      </c>
      <c r="AA77" s="1"/>
      <c r="AB77" s="1"/>
      <c r="AC77" s="1" t="s">
        <v>263</v>
      </c>
      <c r="AD77" s="1" t="s">
        <v>264</v>
      </c>
      <c r="AE77" s="1">
        <v>75</v>
      </c>
      <c r="AF77" s="1" t="s">
        <v>265</v>
      </c>
      <c r="AG77" s="1">
        <v>6</v>
      </c>
      <c r="AH77" s="1">
        <v>5000</v>
      </c>
      <c r="AI77" s="1" t="s">
        <v>944</v>
      </c>
      <c r="AJ77" s="1"/>
      <c r="AK77" s="1"/>
      <c r="AL77" s="1" t="s">
        <v>267</v>
      </c>
      <c r="AM77" s="1" t="s">
        <v>268</v>
      </c>
      <c r="AN77" s="1" t="s">
        <v>269</v>
      </c>
      <c r="AO77" s="1">
        <v>153</v>
      </c>
      <c r="AP77" s="1"/>
      <c r="AQ77" s="1"/>
      <c r="AR77" s="1"/>
      <c r="AS77" s="1" t="s">
        <v>270</v>
      </c>
      <c r="AT77" s="1" t="s">
        <v>268</v>
      </c>
      <c r="AU77" s="1">
        <v>153</v>
      </c>
      <c r="AV77" s="1" t="s">
        <v>263</v>
      </c>
      <c r="AW77" s="1" t="s">
        <v>264</v>
      </c>
      <c r="AX77" s="1"/>
      <c r="AY77" s="1"/>
      <c r="AZ77" s="1">
        <v>34</v>
      </c>
      <c r="BA77" s="1" t="s">
        <v>294</v>
      </c>
      <c r="BB77" s="1"/>
      <c r="BC77" s="1">
        <v>118</v>
      </c>
      <c r="BD77" s="1" t="s">
        <v>260</v>
      </c>
      <c r="BE77" s="1" t="s">
        <v>271</v>
      </c>
      <c r="BF77" s="1"/>
      <c r="BG77" s="1">
        <v>11</v>
      </c>
      <c r="BH77" s="1" t="s">
        <v>272</v>
      </c>
      <c r="BI77" s="1">
        <v>17159449</v>
      </c>
      <c r="BJ77" s="1" t="s">
        <v>273</v>
      </c>
      <c r="BK77" s="1" t="s">
        <v>295</v>
      </c>
      <c r="BL77" s="1"/>
      <c r="BM77" s="1"/>
      <c r="BN77" s="1">
        <v>351</v>
      </c>
      <c r="BO77" s="1"/>
      <c r="BP77" s="1" t="s">
        <v>945</v>
      </c>
      <c r="BQ77" s="1" t="s">
        <v>2</v>
      </c>
      <c r="BR77" s="1"/>
      <c r="BS77" s="1">
        <v>4232</v>
      </c>
      <c r="BT77" s="1"/>
      <c r="BU77" s="1"/>
      <c r="BV77" s="1"/>
      <c r="BW77" s="1"/>
      <c r="BX77" s="1"/>
      <c r="BY77" s="1"/>
    </row>
    <row r="78" spans="1:77" x14ac:dyDescent="0.2">
      <c r="A78">
        <v>77</v>
      </c>
      <c r="B78" s="1" t="s">
        <v>251</v>
      </c>
      <c r="C78" s="1" t="s">
        <v>252</v>
      </c>
      <c r="D78" s="1">
        <v>23185572404</v>
      </c>
      <c r="E78" s="1">
        <v>18557240</v>
      </c>
      <c r="F78" s="1" t="s">
        <v>946</v>
      </c>
      <c r="G78" s="1" t="s">
        <v>946</v>
      </c>
      <c r="H78" s="1" t="s">
        <v>947</v>
      </c>
      <c r="I78" s="1" t="s">
        <v>187</v>
      </c>
      <c r="J78" s="1" t="s">
        <v>948</v>
      </c>
      <c r="K78" s="1" t="s">
        <v>949</v>
      </c>
      <c r="L78" s="1" t="s">
        <v>257</v>
      </c>
      <c r="M78" s="1">
        <v>6645502</v>
      </c>
      <c r="N78" s="1" t="s">
        <v>950</v>
      </c>
      <c r="O78" s="1" t="s">
        <v>259</v>
      </c>
      <c r="P78" s="1" t="s">
        <v>260</v>
      </c>
      <c r="Q78" s="1" t="s">
        <v>951</v>
      </c>
      <c r="R78" s="1" t="s">
        <v>952</v>
      </c>
      <c r="S78" s="1">
        <v>8478</v>
      </c>
      <c r="T78" s="1"/>
      <c r="U78" s="1">
        <v>7</v>
      </c>
      <c r="V78" s="1"/>
      <c r="W78" s="1"/>
      <c r="X78" s="1">
        <v>924000</v>
      </c>
      <c r="Y78" s="1">
        <v>6</v>
      </c>
      <c r="Z78" s="1">
        <v>5544000</v>
      </c>
      <c r="AA78" s="1"/>
      <c r="AB78" s="1"/>
      <c r="AC78" s="1" t="s">
        <v>263</v>
      </c>
      <c r="AD78" s="1" t="s">
        <v>264</v>
      </c>
      <c r="AE78" s="1">
        <v>76</v>
      </c>
      <c r="AF78" s="1" t="s">
        <v>265</v>
      </c>
      <c r="AG78" s="1">
        <v>6</v>
      </c>
      <c r="AH78" s="1">
        <v>5000</v>
      </c>
      <c r="AI78" s="1"/>
      <c r="AJ78" s="1" t="s">
        <v>953</v>
      </c>
      <c r="AK78" s="1"/>
      <c r="AL78" s="1" t="s">
        <v>267</v>
      </c>
      <c r="AM78" s="1" t="s">
        <v>268</v>
      </c>
      <c r="AN78" s="1" t="s">
        <v>269</v>
      </c>
      <c r="AO78" s="1">
        <v>35921</v>
      </c>
      <c r="AP78" s="1"/>
      <c r="AQ78" s="1"/>
      <c r="AR78" s="1"/>
      <c r="AS78" s="1" t="s">
        <v>270</v>
      </c>
      <c r="AT78" s="1" t="s">
        <v>268</v>
      </c>
      <c r="AU78" s="1">
        <v>35921</v>
      </c>
      <c r="AV78" s="1" t="s">
        <v>263</v>
      </c>
      <c r="AW78" s="1" t="s">
        <v>264</v>
      </c>
      <c r="AX78" s="1"/>
      <c r="AY78" s="1"/>
      <c r="AZ78" s="1">
        <v>6068</v>
      </c>
      <c r="BA78" s="1" t="s">
        <v>267</v>
      </c>
      <c r="BB78" s="1"/>
      <c r="BC78" s="1">
        <v>118</v>
      </c>
      <c r="BD78" s="1" t="s">
        <v>260</v>
      </c>
      <c r="BE78" s="1" t="s">
        <v>271</v>
      </c>
      <c r="BF78" s="1"/>
      <c r="BG78" s="1">
        <v>11</v>
      </c>
      <c r="BH78" s="1" t="s">
        <v>272</v>
      </c>
      <c r="BI78" s="1">
        <v>17159449</v>
      </c>
      <c r="BJ78" s="1" t="s">
        <v>273</v>
      </c>
      <c r="BK78" s="1" t="s">
        <v>274</v>
      </c>
      <c r="BL78" s="1"/>
      <c r="BM78" s="1">
        <v>247</v>
      </c>
      <c r="BN78" s="1">
        <v>351</v>
      </c>
      <c r="BO78" s="1"/>
      <c r="BP78" s="1" t="s">
        <v>954</v>
      </c>
      <c r="BQ78" s="1" t="s">
        <v>2</v>
      </c>
      <c r="BR78" s="1"/>
      <c r="BS78" s="1">
        <v>8478</v>
      </c>
      <c r="BT78" s="1"/>
      <c r="BU78" s="1"/>
      <c r="BV78" s="1"/>
      <c r="BW78" s="1"/>
      <c r="BX78" s="1"/>
      <c r="BY78" s="1"/>
    </row>
    <row r="79" spans="1:77" x14ac:dyDescent="0.2">
      <c r="A79">
        <v>78</v>
      </c>
      <c r="B79" s="1" t="s">
        <v>251</v>
      </c>
      <c r="C79" s="1" t="s">
        <v>252</v>
      </c>
      <c r="D79" s="1">
        <v>27178419639</v>
      </c>
      <c r="E79" s="1">
        <v>17841963</v>
      </c>
      <c r="F79" s="1" t="s">
        <v>955</v>
      </c>
      <c r="G79" s="1" t="s">
        <v>955</v>
      </c>
      <c r="H79" s="1" t="s">
        <v>956</v>
      </c>
      <c r="I79" s="1" t="s">
        <v>188</v>
      </c>
      <c r="J79" s="1" t="s">
        <v>957</v>
      </c>
      <c r="K79" s="1" t="s">
        <v>958</v>
      </c>
      <c r="L79" s="1">
        <v>913</v>
      </c>
      <c r="M79" s="1">
        <v>6567338</v>
      </c>
      <c r="N79" s="1" t="s">
        <v>959</v>
      </c>
      <c r="O79" s="1" t="s">
        <v>259</v>
      </c>
      <c r="P79" s="1" t="s">
        <v>260</v>
      </c>
      <c r="Q79" s="1" t="s">
        <v>321</v>
      </c>
      <c r="R79" s="1" t="s">
        <v>960</v>
      </c>
      <c r="S79" s="1">
        <v>1733</v>
      </c>
      <c r="T79" s="1"/>
      <c r="U79" s="1"/>
      <c r="V79" s="1"/>
      <c r="W79" s="1"/>
      <c r="X79" s="1">
        <v>1380500</v>
      </c>
      <c r="Y79" s="1">
        <v>6</v>
      </c>
      <c r="Z79" s="1">
        <v>8283000</v>
      </c>
      <c r="AA79" s="1"/>
      <c r="AB79" s="1"/>
      <c r="AC79" s="1" t="s">
        <v>263</v>
      </c>
      <c r="AD79" s="1" t="s">
        <v>264</v>
      </c>
      <c r="AE79" s="1">
        <v>77</v>
      </c>
      <c r="AF79" s="1" t="s">
        <v>265</v>
      </c>
      <c r="AG79" s="1">
        <v>6</v>
      </c>
      <c r="AH79" s="1">
        <v>5000</v>
      </c>
      <c r="AI79" s="1" t="s">
        <v>961</v>
      </c>
      <c r="AJ79" s="1"/>
      <c r="AK79" s="1"/>
      <c r="AL79" s="1" t="s">
        <v>267</v>
      </c>
      <c r="AM79" s="1" t="s">
        <v>268</v>
      </c>
      <c r="AN79" s="1" t="s">
        <v>269</v>
      </c>
      <c r="AO79" s="1">
        <v>39001</v>
      </c>
      <c r="AP79" s="1"/>
      <c r="AQ79" s="1"/>
      <c r="AR79" s="1"/>
      <c r="AS79" s="1" t="s">
        <v>270</v>
      </c>
      <c r="AT79" s="1" t="s">
        <v>268</v>
      </c>
      <c r="AU79" s="1">
        <v>39001</v>
      </c>
      <c r="AV79" s="1" t="s">
        <v>263</v>
      </c>
      <c r="AW79" s="1" t="s">
        <v>264</v>
      </c>
      <c r="AX79" s="1"/>
      <c r="AY79" s="1"/>
      <c r="AZ79" s="1">
        <v>27392</v>
      </c>
      <c r="BA79" s="1" t="s">
        <v>294</v>
      </c>
      <c r="BB79" s="1"/>
      <c r="BC79" s="1">
        <v>118</v>
      </c>
      <c r="BD79" s="1" t="s">
        <v>260</v>
      </c>
      <c r="BE79" s="1" t="s">
        <v>271</v>
      </c>
      <c r="BF79" s="1"/>
      <c r="BG79" s="1">
        <v>11</v>
      </c>
      <c r="BH79" s="1" t="s">
        <v>272</v>
      </c>
      <c r="BI79" s="1">
        <v>17159449</v>
      </c>
      <c r="BJ79" s="1" t="s">
        <v>273</v>
      </c>
      <c r="BK79" s="1" t="s">
        <v>274</v>
      </c>
      <c r="BL79" s="1"/>
      <c r="BM79" s="1"/>
      <c r="BN79" s="1">
        <v>351</v>
      </c>
      <c r="BO79" s="1"/>
      <c r="BP79" s="1" t="s">
        <v>962</v>
      </c>
      <c r="BQ79" s="1" t="s">
        <v>2</v>
      </c>
      <c r="BR79" s="1"/>
      <c r="BS79" s="1">
        <v>1733</v>
      </c>
      <c r="BT79" s="1"/>
      <c r="BU79" s="1"/>
      <c r="BV79" s="1"/>
      <c r="BW79" s="1"/>
      <c r="BX79" s="1"/>
      <c r="BY79" s="1"/>
    </row>
    <row r="80" spans="1:77" x14ac:dyDescent="0.2">
      <c r="A80">
        <v>79</v>
      </c>
      <c r="B80" s="1" t="s">
        <v>251</v>
      </c>
      <c r="C80" s="1" t="s">
        <v>252</v>
      </c>
      <c r="D80" s="1">
        <v>27364307344</v>
      </c>
      <c r="E80" s="1">
        <v>36430734</v>
      </c>
      <c r="F80" s="1" t="s">
        <v>963</v>
      </c>
      <c r="G80" s="1" t="s">
        <v>964</v>
      </c>
      <c r="H80" s="1" t="s">
        <v>965</v>
      </c>
      <c r="I80" s="1" t="s">
        <v>189</v>
      </c>
      <c r="J80" s="1" t="s">
        <v>966</v>
      </c>
      <c r="K80" s="1" t="s">
        <v>967</v>
      </c>
      <c r="L80" s="1">
        <v>913</v>
      </c>
      <c r="M80" s="1">
        <v>3517042986</v>
      </c>
      <c r="N80" s="1" t="s">
        <v>968</v>
      </c>
      <c r="O80" s="1" t="s">
        <v>259</v>
      </c>
      <c r="P80" s="1" t="s">
        <v>260</v>
      </c>
      <c r="Q80" s="1" t="s">
        <v>969</v>
      </c>
      <c r="R80" s="1" t="s">
        <v>970</v>
      </c>
      <c r="S80" s="1">
        <v>5814</v>
      </c>
      <c r="T80" s="1"/>
      <c r="U80" s="1"/>
      <c r="V80" s="1"/>
      <c r="W80" s="1"/>
      <c r="X80" s="1">
        <v>808500</v>
      </c>
      <c r="Y80" s="1">
        <v>6</v>
      </c>
      <c r="Z80" s="1">
        <v>4851000</v>
      </c>
      <c r="AA80" s="1"/>
      <c r="AB80" s="1"/>
      <c r="AC80" s="1" t="s">
        <v>263</v>
      </c>
      <c r="AD80" s="1" t="s">
        <v>264</v>
      </c>
      <c r="AE80" s="1">
        <v>78</v>
      </c>
      <c r="AF80" s="1" t="s">
        <v>265</v>
      </c>
      <c r="AG80" s="1">
        <v>6</v>
      </c>
      <c r="AH80" s="1"/>
      <c r="AI80" s="1"/>
      <c r="AJ80" s="1"/>
      <c r="AK80" s="1"/>
      <c r="AL80" s="1" t="s">
        <v>267</v>
      </c>
      <c r="AM80" s="1" t="s">
        <v>268</v>
      </c>
      <c r="AN80" s="1"/>
      <c r="AO80" s="1">
        <v>37278</v>
      </c>
      <c r="AP80" s="1"/>
      <c r="AQ80" s="1"/>
      <c r="AR80" s="1"/>
      <c r="AS80" s="1"/>
      <c r="AT80" s="1" t="s">
        <v>268</v>
      </c>
      <c r="AU80" s="1">
        <v>37278</v>
      </c>
      <c r="AV80" s="1" t="s">
        <v>263</v>
      </c>
      <c r="AW80" s="1" t="s">
        <v>264</v>
      </c>
      <c r="AX80" s="1"/>
      <c r="AY80" s="1"/>
      <c r="AZ80" s="1">
        <v>15254</v>
      </c>
      <c r="BA80" s="1" t="s">
        <v>267</v>
      </c>
      <c r="BB80" s="1"/>
      <c r="BC80" s="1">
        <v>118</v>
      </c>
      <c r="BD80" s="1"/>
      <c r="BE80" s="1" t="s">
        <v>271</v>
      </c>
      <c r="BF80" s="1"/>
      <c r="BG80" s="1">
        <v>11</v>
      </c>
      <c r="BH80" s="1" t="s">
        <v>272</v>
      </c>
      <c r="BI80" s="1">
        <v>17159449</v>
      </c>
      <c r="BJ80" s="1" t="s">
        <v>273</v>
      </c>
      <c r="BK80" s="1"/>
      <c r="BL80" s="1"/>
      <c r="BM80" s="1"/>
      <c r="BN80" s="1"/>
      <c r="BO80" s="1"/>
      <c r="BP80" s="1" t="s">
        <v>971</v>
      </c>
      <c r="BQ80" s="1" t="s">
        <v>2</v>
      </c>
      <c r="BR80" s="1"/>
      <c r="BS80" s="1">
        <v>5814</v>
      </c>
      <c r="BT80" s="1"/>
      <c r="BU80" s="1"/>
      <c r="BV80" s="1"/>
      <c r="BW80" s="1"/>
      <c r="BX80" s="1"/>
      <c r="BY80" s="1"/>
    </row>
    <row r="81" spans="1:77" x14ac:dyDescent="0.2">
      <c r="A81">
        <v>80</v>
      </c>
      <c r="B81" s="1" t="s">
        <v>251</v>
      </c>
      <c r="C81" s="1" t="s">
        <v>252</v>
      </c>
      <c r="D81" s="1">
        <v>20393059525</v>
      </c>
      <c r="E81" s="1">
        <v>39305952</v>
      </c>
      <c r="F81" s="1" t="s">
        <v>972</v>
      </c>
      <c r="G81" s="1" t="s">
        <v>972</v>
      </c>
      <c r="H81" s="1" t="s">
        <v>973</v>
      </c>
      <c r="I81" s="1" t="s">
        <v>190</v>
      </c>
      <c r="J81" s="1" t="s">
        <v>974</v>
      </c>
      <c r="K81" s="1" t="s">
        <v>975</v>
      </c>
      <c r="L81" s="1" t="s">
        <v>257</v>
      </c>
      <c r="M81" s="1">
        <v>3680263</v>
      </c>
      <c r="N81" s="1" t="s">
        <v>976</v>
      </c>
      <c r="O81" s="1" t="s">
        <v>259</v>
      </c>
      <c r="P81" s="1" t="s">
        <v>260</v>
      </c>
      <c r="Q81" s="1" t="s">
        <v>462</v>
      </c>
      <c r="R81" s="1" t="s">
        <v>977</v>
      </c>
      <c r="S81" s="1">
        <v>828</v>
      </c>
      <c r="T81" s="1"/>
      <c r="U81" s="1"/>
      <c r="V81" s="1"/>
      <c r="W81" s="1"/>
      <c r="X81" s="1">
        <v>577500</v>
      </c>
      <c r="Y81" s="1">
        <v>6</v>
      </c>
      <c r="Z81" s="1">
        <v>3465000</v>
      </c>
      <c r="AA81" s="1"/>
      <c r="AB81" s="1"/>
      <c r="AC81" s="1" t="s">
        <v>263</v>
      </c>
      <c r="AD81" s="1" t="s">
        <v>264</v>
      </c>
      <c r="AE81" s="1">
        <v>79</v>
      </c>
      <c r="AF81" s="1" t="s">
        <v>265</v>
      </c>
      <c r="AG81" s="1">
        <v>6</v>
      </c>
      <c r="AH81" s="1">
        <v>5000</v>
      </c>
      <c r="AI81" s="1" t="s">
        <v>978</v>
      </c>
      <c r="AJ81" s="1"/>
      <c r="AK81" s="1"/>
      <c r="AL81" s="1" t="s">
        <v>267</v>
      </c>
      <c r="AM81" s="1" t="s">
        <v>268</v>
      </c>
      <c r="AN81" s="1" t="s">
        <v>269</v>
      </c>
      <c r="AO81" s="1">
        <v>37309</v>
      </c>
      <c r="AP81" s="1"/>
      <c r="AQ81" s="1"/>
      <c r="AR81" s="1"/>
      <c r="AS81" s="1" t="s">
        <v>270</v>
      </c>
      <c r="AT81" s="1" t="s">
        <v>268</v>
      </c>
      <c r="AU81" s="1">
        <v>37309</v>
      </c>
      <c r="AV81" s="1" t="s">
        <v>263</v>
      </c>
      <c r="AW81" s="1" t="s">
        <v>264</v>
      </c>
      <c r="AX81" s="1"/>
      <c r="AY81" s="1"/>
      <c r="AZ81" s="1">
        <v>25893</v>
      </c>
      <c r="BA81" s="1" t="s">
        <v>294</v>
      </c>
      <c r="BB81" s="1"/>
      <c r="BC81" s="1">
        <v>118</v>
      </c>
      <c r="BD81" s="1" t="s">
        <v>979</v>
      </c>
      <c r="BE81" s="1" t="s">
        <v>271</v>
      </c>
      <c r="BF81" s="1"/>
      <c r="BG81" s="1">
        <v>11</v>
      </c>
      <c r="BH81" s="1" t="s">
        <v>272</v>
      </c>
      <c r="BI81" s="1">
        <v>17159449</v>
      </c>
      <c r="BJ81" s="1" t="s">
        <v>273</v>
      </c>
      <c r="BK81" s="1" t="s">
        <v>295</v>
      </c>
      <c r="BL81" s="1"/>
      <c r="BM81" s="1"/>
      <c r="BN81" s="1">
        <v>351</v>
      </c>
      <c r="BO81" s="1"/>
      <c r="BP81" s="1" t="s">
        <v>980</v>
      </c>
      <c r="BQ81" s="1" t="s">
        <v>2</v>
      </c>
      <c r="BR81" s="1"/>
      <c r="BS81" s="1">
        <v>828</v>
      </c>
      <c r="BT81" s="1"/>
      <c r="BU81" s="1"/>
      <c r="BV81" s="1"/>
      <c r="BW81" s="1"/>
      <c r="BX81" s="1"/>
      <c r="BY81" s="1"/>
    </row>
    <row r="82" spans="1:77" x14ac:dyDescent="0.2">
      <c r="A82">
        <v>81</v>
      </c>
      <c r="B82" s="1" t="s">
        <v>251</v>
      </c>
      <c r="C82" s="1" t="s">
        <v>252</v>
      </c>
      <c r="D82" s="1">
        <v>20450805670</v>
      </c>
      <c r="E82" s="1">
        <v>45080567</v>
      </c>
      <c r="F82" s="1" t="s">
        <v>981</v>
      </c>
      <c r="G82" s="1" t="s">
        <v>981</v>
      </c>
      <c r="H82" s="1" t="s">
        <v>982</v>
      </c>
      <c r="I82" s="1" t="s">
        <v>191</v>
      </c>
      <c r="J82" s="1" t="s">
        <v>983</v>
      </c>
      <c r="K82" s="1" t="s">
        <v>984</v>
      </c>
      <c r="L82" s="1">
        <v>913</v>
      </c>
      <c r="M82" s="1">
        <v>2407536</v>
      </c>
      <c r="N82" s="1" t="s">
        <v>985</v>
      </c>
      <c r="O82" s="1" t="s">
        <v>259</v>
      </c>
      <c r="P82" s="1" t="s">
        <v>260</v>
      </c>
      <c r="Q82" s="1" t="s">
        <v>986</v>
      </c>
      <c r="R82" s="1" t="s">
        <v>987</v>
      </c>
      <c r="S82" s="1">
        <v>8659</v>
      </c>
      <c r="T82" s="1"/>
      <c r="U82" s="1"/>
      <c r="V82" s="1"/>
      <c r="W82" s="1"/>
      <c r="X82" s="1">
        <v>924000</v>
      </c>
      <c r="Y82" s="1">
        <v>6</v>
      </c>
      <c r="Z82" s="1">
        <v>5544000</v>
      </c>
      <c r="AA82" s="1"/>
      <c r="AB82" s="1"/>
      <c r="AC82" s="1" t="s">
        <v>263</v>
      </c>
      <c r="AD82" s="1" t="s">
        <v>264</v>
      </c>
      <c r="AE82" s="1">
        <v>80</v>
      </c>
      <c r="AF82" s="1" t="s">
        <v>265</v>
      </c>
      <c r="AG82" s="1">
        <v>6</v>
      </c>
      <c r="AH82" s="1">
        <v>5000</v>
      </c>
      <c r="AI82" s="1" t="s">
        <v>988</v>
      </c>
      <c r="AJ82" s="1"/>
      <c r="AK82" s="1"/>
      <c r="AL82" s="1" t="s">
        <v>267</v>
      </c>
      <c r="AM82" s="1" t="s">
        <v>268</v>
      </c>
      <c r="AN82" s="1" t="s">
        <v>269</v>
      </c>
      <c r="AO82" s="1">
        <v>162</v>
      </c>
      <c r="AP82" s="1"/>
      <c r="AQ82" s="1"/>
      <c r="AR82" s="1"/>
      <c r="AS82" s="1" t="s">
        <v>270</v>
      </c>
      <c r="AT82" s="1" t="s">
        <v>268</v>
      </c>
      <c r="AU82" s="1">
        <v>162</v>
      </c>
      <c r="AV82" s="1" t="s">
        <v>263</v>
      </c>
      <c r="AW82" s="1" t="s">
        <v>264</v>
      </c>
      <c r="AX82" s="1"/>
      <c r="AY82" s="1"/>
      <c r="AZ82" s="1">
        <v>26690</v>
      </c>
      <c r="BA82" s="1" t="s">
        <v>294</v>
      </c>
      <c r="BB82" s="1"/>
      <c r="BC82" s="1">
        <v>118</v>
      </c>
      <c r="BD82" s="1" t="s">
        <v>260</v>
      </c>
      <c r="BE82" s="1"/>
      <c r="BF82" s="1"/>
      <c r="BG82" s="1">
        <v>11</v>
      </c>
      <c r="BH82" s="1" t="s">
        <v>272</v>
      </c>
      <c r="BI82" s="1">
        <v>17159449</v>
      </c>
      <c r="BJ82" s="1" t="s">
        <v>273</v>
      </c>
      <c r="BK82" s="1" t="s">
        <v>295</v>
      </c>
      <c r="BL82" s="1"/>
      <c r="BM82" s="1"/>
      <c r="BN82" s="1">
        <v>351</v>
      </c>
      <c r="BO82" s="1"/>
      <c r="BP82" s="1" t="s">
        <v>989</v>
      </c>
      <c r="BQ82" s="1" t="s">
        <v>2</v>
      </c>
      <c r="BR82" s="1"/>
      <c r="BS82" s="1">
        <v>8659</v>
      </c>
      <c r="BT82" s="1"/>
      <c r="BU82" s="1"/>
      <c r="BV82" s="1"/>
      <c r="BW82" s="1"/>
      <c r="BX82" s="1"/>
      <c r="BY82" s="1"/>
    </row>
    <row r="83" spans="1:77" x14ac:dyDescent="0.2">
      <c r="A83">
        <v>82</v>
      </c>
      <c r="B83" s="1" t="s">
        <v>251</v>
      </c>
      <c r="C83" s="1" t="s">
        <v>252</v>
      </c>
      <c r="D83" s="1">
        <v>20209979935</v>
      </c>
      <c r="E83" s="1">
        <v>20997993</v>
      </c>
      <c r="F83" s="1" t="s">
        <v>990</v>
      </c>
      <c r="G83" s="1" t="s">
        <v>990</v>
      </c>
      <c r="H83" s="1" t="s">
        <v>991</v>
      </c>
      <c r="I83" s="1" t="s">
        <v>192</v>
      </c>
      <c r="J83" s="1" t="s">
        <v>992</v>
      </c>
      <c r="K83" s="1" t="s">
        <v>993</v>
      </c>
      <c r="L83" s="1">
        <v>913</v>
      </c>
      <c r="M83" s="1">
        <v>6500559</v>
      </c>
      <c r="N83" s="1" t="s">
        <v>994</v>
      </c>
      <c r="O83" s="1" t="s">
        <v>259</v>
      </c>
      <c r="P83" s="1" t="s">
        <v>260</v>
      </c>
      <c r="Q83" s="1" t="s">
        <v>446</v>
      </c>
      <c r="R83" s="1" t="s">
        <v>995</v>
      </c>
      <c r="S83" s="1">
        <v>2968</v>
      </c>
      <c r="T83" s="1"/>
      <c r="U83" s="1"/>
      <c r="V83" s="1"/>
      <c r="W83" s="1"/>
      <c r="X83" s="1">
        <v>1155000</v>
      </c>
      <c r="Y83" s="1">
        <v>6</v>
      </c>
      <c r="Z83" s="1">
        <v>6930000</v>
      </c>
      <c r="AA83" s="1"/>
      <c r="AB83" s="1"/>
      <c r="AC83" s="1" t="s">
        <v>263</v>
      </c>
      <c r="AD83" s="1" t="s">
        <v>264</v>
      </c>
      <c r="AE83" s="1">
        <v>81</v>
      </c>
      <c r="AF83" s="1" t="s">
        <v>265</v>
      </c>
      <c r="AG83" s="1">
        <v>6</v>
      </c>
      <c r="AH83" s="1">
        <v>5000</v>
      </c>
      <c r="AI83" s="1" t="s">
        <v>996</v>
      </c>
      <c r="AJ83" s="1"/>
      <c r="AK83" s="1"/>
      <c r="AL83" s="1" t="s">
        <v>267</v>
      </c>
      <c r="AM83" s="1" t="s">
        <v>268</v>
      </c>
      <c r="AN83" s="1" t="s">
        <v>269</v>
      </c>
      <c r="AO83" s="1">
        <v>35500</v>
      </c>
      <c r="AP83" s="1"/>
      <c r="AQ83" s="1"/>
      <c r="AR83" s="1"/>
      <c r="AS83" s="1" t="s">
        <v>392</v>
      </c>
      <c r="AT83" s="1" t="s">
        <v>268</v>
      </c>
      <c r="AU83" s="1">
        <v>35500</v>
      </c>
      <c r="AV83" s="1" t="s">
        <v>263</v>
      </c>
      <c r="AW83" s="1" t="s">
        <v>264</v>
      </c>
      <c r="AX83" s="1"/>
      <c r="AY83" s="1"/>
      <c r="AZ83" s="1">
        <v>26230</v>
      </c>
      <c r="BA83" s="1" t="s">
        <v>294</v>
      </c>
      <c r="BB83" s="1"/>
      <c r="BC83" s="1">
        <v>118</v>
      </c>
      <c r="BD83" s="1" t="s">
        <v>260</v>
      </c>
      <c r="BE83" s="1" t="s">
        <v>271</v>
      </c>
      <c r="BF83" s="1"/>
      <c r="BG83" s="1">
        <v>11</v>
      </c>
      <c r="BH83" s="1" t="s">
        <v>272</v>
      </c>
      <c r="BI83" s="1">
        <v>17159449</v>
      </c>
      <c r="BJ83" s="1" t="s">
        <v>273</v>
      </c>
      <c r="BK83" s="1" t="s">
        <v>295</v>
      </c>
      <c r="BL83" s="1"/>
      <c r="BM83" s="1"/>
      <c r="BN83" s="1">
        <v>351</v>
      </c>
      <c r="BO83" s="1"/>
      <c r="BP83" s="1" t="s">
        <v>997</v>
      </c>
      <c r="BQ83" s="1" t="s">
        <v>2</v>
      </c>
      <c r="BR83" s="1"/>
      <c r="BS83" s="1">
        <v>2968</v>
      </c>
      <c r="BT83" s="1"/>
      <c r="BU83" s="1"/>
      <c r="BV83" s="1"/>
      <c r="BW83" s="1"/>
      <c r="BX83" s="1"/>
      <c r="BY8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Christian Martin Nicolas Amaya</cp:lastModifiedBy>
  <dcterms:created xsi:type="dcterms:W3CDTF">2026-04-24T11:29:41Z</dcterms:created>
  <dcterms:modified xsi:type="dcterms:W3CDTF">2026-06-12T19:31:49Z</dcterms:modified>
  <cp:category/>
</cp:coreProperties>
</file>